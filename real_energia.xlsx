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dy Cabrera\Downloads\"/>
    </mc:Choice>
  </mc:AlternateContent>
  <xr:revisionPtr revIDLastSave="0" documentId="13_ncr:1_{AA262ED3-5D6A-4CB8-A388-DC64931B05B2}" xr6:coauthVersionLast="47" xr6:coauthVersionMax="47" xr10:uidLastSave="{00000000-0000-0000-0000-000000000000}"/>
  <bookViews>
    <workbookView xWindow="-108" yWindow="-108" windowWidth="23256" windowHeight="13176" xr2:uid="{4DAAAFFA-D76F-460C-B2C0-4A0D66E8834F}"/>
  </bookViews>
  <sheets>
    <sheet name="DETALLE ENERGIA Y FACTURA" sheetId="3" r:id="rId1"/>
    <sheet name="Graficas" sheetId="20" r:id="rId2"/>
    <sheet name="XLSTAT_20221004_132937_1_HID" sheetId="19" state="hidden" r:id="rId3"/>
    <sheet name="XLSTAT_20221004_131245_1_HID" sheetId="17" state="hidden" r:id="rId4"/>
    <sheet name="XLSTAT_20220917_223214_1_HID" sheetId="10" state="hidden" r:id="rId5"/>
    <sheet name="Hoja1" sheetId="2" r:id="rId6"/>
  </sheets>
  <definedNames>
    <definedName name="CECOS">'DETALLE ENERGIA Y FACTURA'!$A$1:$AD$44</definedName>
    <definedName name="xdata1" localSheetId="4" hidden="1">XLSTAT_20220917_223214_1_HID!$C$1:$C$70</definedName>
    <definedName name="xdata1" localSheetId="3" hidden="1">XLSTAT_20221004_131245_1_HID!$C$1:$C$70</definedName>
    <definedName name="xdata1" localSheetId="2" hidden="1">XLSTAT_20221004_132937_1_HID!$C$1:$C$70</definedName>
    <definedName name="xdata1" hidden="1">#REF!</definedName>
    <definedName name="xdata2" localSheetId="4" hidden="1">XLSTAT_20220917_223214_1_HID!$G$1:$G$70</definedName>
    <definedName name="xdata2" localSheetId="3" hidden="1">XLSTAT_20221004_131245_1_HID!$G$1:$G$70</definedName>
    <definedName name="xdata2" localSheetId="2" hidden="1">XLSTAT_20221004_132937_1_HID!$G$1:$G$70</definedName>
    <definedName name="xdata2" hidden="1">#REF!</definedName>
    <definedName name="xdata3" localSheetId="4" hidden="1">XLSTAT_20220917_223214_1_HID!$K$1:$K$100</definedName>
    <definedName name="xdata3" localSheetId="3" hidden="1">XLSTAT_20221004_131245_1_HID!$K$1:$K$100</definedName>
    <definedName name="xdata3" localSheetId="2" hidden="1">XLSTAT_20221004_132937_1_HID!$K$1:$K$100</definedName>
    <definedName name="xdata3" hidden="1">#REF!</definedName>
    <definedName name="xdata4" localSheetId="4" hidden="1">XLSTAT_20220917_223214_1_HID!$O$1:$O$100</definedName>
    <definedName name="xdata4" localSheetId="3" hidden="1">XLSTAT_20221004_131245_1_HID!$O$1:$O$100</definedName>
    <definedName name="xdata4" localSheetId="2" hidden="1">XLSTAT_20221004_132937_1_HID!$O$1:$O$100</definedName>
    <definedName name="xdata4" hidden="1">#REF!</definedName>
    <definedName name="xdata5" localSheetId="4" hidden="1">XLSTAT_20220917_223214_1_HID!$S$1:$S$70</definedName>
    <definedName name="xdata5" localSheetId="3" hidden="1">XLSTAT_20221004_131245_1_HID!$S$1:$S$70</definedName>
    <definedName name="xdata5" localSheetId="2" hidden="1">XLSTAT_20221004_132937_1_HID!$S$1:$S$70</definedName>
    <definedName name="xdata5" hidden="1">#REF!</definedName>
    <definedName name="xdata6" localSheetId="4" hidden="1">XLSTAT_20220917_223214_1_HID!$W$1:$W$70</definedName>
    <definedName name="xdata6" localSheetId="3" hidden="1">XLSTAT_20221004_131245_1_HID!$W$1:$W$70</definedName>
    <definedName name="xdata6" localSheetId="2" hidden="1">XLSTAT_20221004_132937_1_HID!$W$1:$W$70</definedName>
    <definedName name="xdata6" hidden="1">#REF!</definedName>
    <definedName name="ydata1" localSheetId="4" hidden="1">XLSTAT_20220917_223214_1_HID!$D$1:$D$70</definedName>
    <definedName name="ydata1" localSheetId="3" hidden="1">XLSTAT_20221004_131245_1_HID!$D$1:$D$70</definedName>
    <definedName name="ydata1" localSheetId="2" hidden="1">XLSTAT_20221004_132937_1_HID!$D$1:$D$70</definedName>
    <definedName name="ydata1" hidden="1">#REF!</definedName>
    <definedName name="ydata2" localSheetId="4" hidden="1">XLSTAT_20220917_223214_1_HID!$H$1:$H$70</definedName>
    <definedName name="ydata2" localSheetId="3" hidden="1">XLSTAT_20221004_131245_1_HID!$H$1:$H$70</definedName>
    <definedName name="ydata2" localSheetId="2" hidden="1">XLSTAT_20221004_132937_1_HID!$H$1:$H$70</definedName>
    <definedName name="ydata2" hidden="1">#REF!</definedName>
    <definedName name="ydata3" localSheetId="4" hidden="1">XLSTAT_20220917_223214_1_HID!$L$1:$L$100</definedName>
    <definedName name="ydata3" localSheetId="3" hidden="1">XLSTAT_20221004_131245_1_HID!$L$1:$L$100</definedName>
    <definedName name="ydata3" localSheetId="2" hidden="1">XLSTAT_20221004_132937_1_HID!$L$1:$L$100</definedName>
    <definedName name="ydata3" hidden="1">#REF!</definedName>
    <definedName name="ydata4" localSheetId="4" hidden="1">XLSTAT_20220917_223214_1_HID!$P$1:$P$100</definedName>
    <definedName name="ydata4" localSheetId="3" hidden="1">XLSTAT_20221004_131245_1_HID!$P$1:$P$100</definedName>
    <definedName name="ydata4" localSheetId="2" hidden="1">XLSTAT_20221004_132937_1_HID!$P$1:$P$100</definedName>
    <definedName name="ydata4" hidden="1">#REF!</definedName>
    <definedName name="ydata5" localSheetId="4" hidden="1">XLSTAT_20220917_223214_1_HID!$T$1:$T$70</definedName>
    <definedName name="ydata5" localSheetId="3" hidden="1">XLSTAT_20221004_131245_1_HID!$T$1:$T$70</definedName>
    <definedName name="ydata5" localSheetId="2" hidden="1">XLSTAT_20221004_132937_1_HID!$T$1:$T$70</definedName>
    <definedName name="ydata5" hidden="1">#REF!</definedName>
    <definedName name="ydata6" localSheetId="4" hidden="1">XLSTAT_20220917_223214_1_HID!$X$1:$X$70</definedName>
    <definedName name="ydata6" localSheetId="3" hidden="1">XLSTAT_20221004_131245_1_HID!$X$1:$X$70</definedName>
    <definedName name="ydata6" localSheetId="2" hidden="1">XLSTAT_20221004_132937_1_HID!$X$1:$X$70</definedName>
    <definedName name="ydata6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57" i="3" l="1"/>
  <c r="BT59" i="3"/>
  <c r="BT32" i="3"/>
  <c r="BT31" i="3" s="1"/>
  <c r="BT61" i="3" s="1"/>
  <c r="BT28" i="3"/>
  <c r="BT62" i="3" s="1"/>
  <c r="BT19" i="3"/>
  <c r="BT60" i="3" s="1"/>
  <c r="BT13" i="3"/>
  <c r="BT10" i="3"/>
  <c r="BT2" i="3"/>
  <c r="BT44" i="3" l="1"/>
  <c r="BQ2" i="3"/>
  <c r="BT49" i="3" l="1"/>
  <c r="BT51" i="3"/>
  <c r="BT50" i="3"/>
  <c r="BT46" i="3"/>
  <c r="BT47" i="3"/>
  <c r="BT48" i="3"/>
  <c r="BS59" i="3"/>
  <c r="BS32" i="3"/>
  <c r="BS31" i="3" s="1"/>
  <c r="BS28" i="3"/>
  <c r="BS62" i="3" s="1"/>
  <c r="BS19" i="3"/>
  <c r="BS13" i="3"/>
  <c r="BS10" i="3"/>
  <c r="BS2" i="3"/>
  <c r="BR59" i="3"/>
  <c r="BR32" i="3"/>
  <c r="BR31" i="3" s="1"/>
  <c r="BR28" i="3"/>
  <c r="BR62" i="3" s="1"/>
  <c r="BR19" i="3"/>
  <c r="BR13" i="3"/>
  <c r="BR10" i="3"/>
  <c r="BR2" i="3"/>
  <c r="BQ64" i="3"/>
  <c r="BQ56" i="3"/>
  <c r="BQ55" i="3"/>
  <c r="BQ54" i="3"/>
  <c r="BQ43" i="3"/>
  <c r="BQ42" i="3"/>
  <c r="BQ41" i="3"/>
  <c r="BQ40" i="3"/>
  <c r="BQ39" i="3"/>
  <c r="BQ38" i="3"/>
  <c r="BQ37" i="3"/>
  <c r="BQ36" i="3"/>
  <c r="BQ35" i="3"/>
  <c r="BQ34" i="3"/>
  <c r="BQ33" i="3"/>
  <c r="BQ30" i="3"/>
  <c r="BQ29" i="3"/>
  <c r="BQ27" i="3"/>
  <c r="BQ26" i="3"/>
  <c r="BQ25" i="3"/>
  <c r="BQ24" i="3"/>
  <c r="BQ23" i="3"/>
  <c r="BQ22" i="3"/>
  <c r="BQ21" i="3"/>
  <c r="BQ20" i="3"/>
  <c r="BQ17" i="3"/>
  <c r="BQ16" i="3"/>
  <c r="BQ15" i="3"/>
  <c r="BQ14" i="3"/>
  <c r="BQ12" i="3"/>
  <c r="BQ11" i="3"/>
  <c r="BQ9" i="3"/>
  <c r="BQ8" i="3"/>
  <c r="BQ7" i="3"/>
  <c r="BQ6" i="3"/>
  <c r="BQ5" i="3"/>
  <c r="BQ4" i="3"/>
  <c r="BQ3" i="3"/>
  <c r="BP59" i="3"/>
  <c r="BP32" i="3"/>
  <c r="BP31" i="3" s="1"/>
  <c r="BP28" i="3"/>
  <c r="BP62" i="3" s="1"/>
  <c r="BP19" i="3"/>
  <c r="BP13" i="3"/>
  <c r="BP10" i="3"/>
  <c r="BP2" i="3"/>
  <c r="BO59" i="3"/>
  <c r="BO32" i="3"/>
  <c r="BO31" i="3" s="1"/>
  <c r="BO61" i="3" s="1"/>
  <c r="BO28" i="3"/>
  <c r="BO62" i="3" s="1"/>
  <c r="BO19" i="3"/>
  <c r="BO60" i="3" s="1"/>
  <c r="BO13" i="3"/>
  <c r="BO10" i="3"/>
  <c r="BO2" i="3"/>
  <c r="L26" i="20"/>
  <c r="L25" i="20"/>
  <c r="L4" i="20"/>
  <c r="L3" i="20"/>
  <c r="BS61" i="3" l="1"/>
  <c r="BS44" i="3"/>
  <c r="BS60" i="3"/>
  <c r="BR44" i="3"/>
  <c r="BR61" i="3"/>
  <c r="BR60" i="3"/>
  <c r="BQ59" i="3"/>
  <c r="BP61" i="3"/>
  <c r="BP44" i="3"/>
  <c r="BP60" i="3"/>
  <c r="BO44" i="3"/>
  <c r="BN32" i="3"/>
  <c r="BN31" i="3" s="1"/>
  <c r="BO49" i="3" l="1"/>
  <c r="BO69" i="3" s="1"/>
  <c r="BP50" i="3"/>
  <c r="BP70" i="3" s="1"/>
  <c r="BS46" i="3"/>
  <c r="BS50" i="3"/>
  <c r="BS47" i="3"/>
  <c r="BS51" i="3"/>
  <c r="BS49" i="3"/>
  <c r="BS48" i="3"/>
  <c r="BR51" i="3"/>
  <c r="BR49" i="3"/>
  <c r="BR48" i="3"/>
  <c r="BR47" i="3"/>
  <c r="BR50" i="3"/>
  <c r="BR46" i="3"/>
  <c r="BP48" i="3"/>
  <c r="BP68" i="3" s="1"/>
  <c r="BP46" i="3"/>
  <c r="BP66" i="3" s="1"/>
  <c r="BP51" i="3"/>
  <c r="BP71" i="3" s="1"/>
  <c r="BP47" i="3"/>
  <c r="BP67" i="3" s="1"/>
  <c r="BP49" i="3"/>
  <c r="BP69" i="3" s="1"/>
  <c r="BO50" i="3"/>
  <c r="BO70" i="3" s="1"/>
  <c r="BO47" i="3"/>
  <c r="BO67" i="3" s="1"/>
  <c r="BO46" i="3"/>
  <c r="BO66" i="3" s="1"/>
  <c r="BO48" i="3"/>
  <c r="BO68" i="3" s="1"/>
  <c r="BO51" i="3"/>
  <c r="BO71" i="3" s="1"/>
  <c r="X26" i="20"/>
  <c r="BN59" i="3"/>
  <c r="BN28" i="3"/>
  <c r="BN62" i="3" s="1"/>
  <c r="BN19" i="3"/>
  <c r="BN13" i="3"/>
  <c r="BN10" i="3"/>
  <c r="BN2" i="3"/>
  <c r="AJ9" i="20" l="1"/>
  <c r="AJ4" i="20"/>
  <c r="X4" i="20"/>
  <c r="BN60" i="3"/>
  <c r="X9" i="20" s="1"/>
  <c r="BN44" i="3"/>
  <c r="BN61" i="3"/>
  <c r="X31" i="20" s="1"/>
  <c r="BN47" i="3" l="1"/>
  <c r="BN49" i="3"/>
  <c r="BN46" i="3"/>
  <c r="BN51" i="3"/>
  <c r="BN50" i="3"/>
  <c r="BN48" i="3"/>
  <c r="BM59" i="3"/>
  <c r="BM32" i="3"/>
  <c r="BM31" i="3" s="1"/>
  <c r="BM28" i="3"/>
  <c r="BM62" i="3" s="1"/>
  <c r="BM19" i="3"/>
  <c r="BM60" i="3" s="1"/>
  <c r="BM13" i="3"/>
  <c r="BM10" i="3"/>
  <c r="BM2" i="3"/>
  <c r="BM44" i="3" l="1"/>
  <c r="BM61" i="3"/>
  <c r="BM51" i="3" l="1"/>
  <c r="BM50" i="3"/>
  <c r="BM48" i="3"/>
  <c r="BM46" i="3"/>
  <c r="BM49" i="3"/>
  <c r="BM47" i="3"/>
  <c r="BL59" i="3" l="1"/>
  <c r="BL32" i="3"/>
  <c r="BL31" i="3" s="1"/>
  <c r="BL28" i="3"/>
  <c r="BL62" i="3" s="1"/>
  <c r="BL19" i="3"/>
  <c r="BL13" i="3"/>
  <c r="BL10" i="3"/>
  <c r="BL2" i="3"/>
  <c r="AI31" i="20"/>
  <c r="AI30" i="20"/>
  <c r="AG31" i="20"/>
  <c r="AG30" i="20"/>
  <c r="AE31" i="20"/>
  <c r="AE30" i="20"/>
  <c r="AC31" i="20"/>
  <c r="BL60" i="3" l="1"/>
  <c r="BL61" i="3"/>
  <c r="BL44" i="3"/>
  <c r="BL48" i="3" l="1"/>
  <c r="BL50" i="3"/>
  <c r="BL51" i="3"/>
  <c r="BL47" i="3"/>
  <c r="BL49" i="3"/>
  <c r="BL46" i="3"/>
  <c r="BK59" i="3"/>
  <c r="BK32" i="3"/>
  <c r="BK31" i="3" s="1"/>
  <c r="BK28" i="3"/>
  <c r="BK62" i="3" s="1"/>
  <c r="BK19" i="3"/>
  <c r="BK13" i="3"/>
  <c r="BK10" i="3"/>
  <c r="BK2" i="3"/>
  <c r="BK60" i="3" l="1"/>
  <c r="BK61" i="3"/>
  <c r="BK44" i="3"/>
  <c r="BK47" i="3" l="1"/>
  <c r="BK50" i="3"/>
  <c r="BK46" i="3"/>
  <c r="BK48" i="3"/>
  <c r="BK51" i="3"/>
  <c r="BK49" i="3"/>
  <c r="AC30" i="20"/>
  <c r="BJ59" i="3" l="1"/>
  <c r="BI59" i="3"/>
  <c r="BJ32" i="3"/>
  <c r="BJ31" i="3" s="1"/>
  <c r="BJ28" i="3"/>
  <c r="BJ62" i="3" s="1"/>
  <c r="BJ19" i="3"/>
  <c r="BJ13" i="3"/>
  <c r="BJ10" i="3"/>
  <c r="BJ2" i="3"/>
  <c r="AH37" i="20"/>
  <c r="AF37" i="20"/>
  <c r="AD37" i="20"/>
  <c r="AB37" i="20"/>
  <c r="AI29" i="20"/>
  <c r="AI28" i="20"/>
  <c r="AI27" i="20"/>
  <c r="AI26" i="20"/>
  <c r="AI25" i="20"/>
  <c r="AG29" i="20"/>
  <c r="AG28" i="20"/>
  <c r="AG27" i="20"/>
  <c r="AG26" i="20"/>
  <c r="AG25" i="20"/>
  <c r="AE29" i="20"/>
  <c r="AE28" i="20"/>
  <c r="AE27" i="20"/>
  <c r="AE26" i="20"/>
  <c r="AE25" i="20"/>
  <c r="AC29" i="20"/>
  <c r="AC28" i="20"/>
  <c r="AC27" i="20"/>
  <c r="AC26" i="20"/>
  <c r="AC25" i="20"/>
  <c r="BJ60" i="3" l="1"/>
  <c r="AC37" i="20"/>
  <c r="AC38" i="20" s="1"/>
  <c r="BJ44" i="3"/>
  <c r="BJ61" i="3"/>
  <c r="AE37" i="20"/>
  <c r="AE38" i="20" s="1"/>
  <c r="AG37" i="20"/>
  <c r="AG38" i="20" s="1"/>
  <c r="AI37" i="20"/>
  <c r="AI38" i="20" s="1"/>
  <c r="A67" i="3"/>
  <c r="A68" i="3"/>
  <c r="A69" i="3"/>
  <c r="A70" i="3"/>
  <c r="A71" i="3"/>
  <c r="A66" i="3"/>
  <c r="BJ50" i="3" l="1"/>
  <c r="BJ48" i="3"/>
  <c r="BJ49" i="3"/>
  <c r="BJ51" i="3"/>
  <c r="BJ47" i="3"/>
  <c r="BJ46" i="3"/>
  <c r="L27" i="20"/>
  <c r="L5" i="20"/>
  <c r="BI32" i="3" l="1"/>
  <c r="BI31" i="3" s="1"/>
  <c r="BI28" i="3"/>
  <c r="BI62" i="3" s="1"/>
  <c r="BI19" i="3"/>
  <c r="BI13" i="3"/>
  <c r="BI10" i="3"/>
  <c r="BI2" i="3"/>
  <c r="BH32" i="3"/>
  <c r="BH31" i="3" s="1"/>
  <c r="BH61" i="3" s="1"/>
  <c r="BH28" i="3"/>
  <c r="BH62" i="3" s="1"/>
  <c r="BH19" i="3"/>
  <c r="BH60" i="3" s="1"/>
  <c r="BH13" i="3"/>
  <c r="BH10" i="3"/>
  <c r="BH2" i="3"/>
  <c r="BD64" i="3"/>
  <c r="BG32" i="3"/>
  <c r="BG31" i="3" s="1"/>
  <c r="BG28" i="3"/>
  <c r="BG62" i="3" s="1"/>
  <c r="BG19" i="3"/>
  <c r="BG60" i="3" s="1"/>
  <c r="BG13" i="3"/>
  <c r="BG10" i="3"/>
  <c r="BG2" i="3"/>
  <c r="BF32" i="3"/>
  <c r="BF31" i="3" s="1"/>
  <c r="BF61" i="3" s="1"/>
  <c r="BF28" i="3"/>
  <c r="BF62" i="3" s="1"/>
  <c r="BF19" i="3"/>
  <c r="BF60" i="3" s="1"/>
  <c r="BF13" i="3"/>
  <c r="BF10" i="3"/>
  <c r="BF2" i="3"/>
  <c r="BD2" i="3"/>
  <c r="BE32" i="3"/>
  <c r="BE28" i="3"/>
  <c r="BE62" i="3" s="1"/>
  <c r="BE19" i="3"/>
  <c r="BE13" i="3"/>
  <c r="BE10" i="3"/>
  <c r="BE2" i="3"/>
  <c r="BQ13" i="3" l="1"/>
  <c r="BQ19" i="3"/>
  <c r="BQ60" i="3" s="1"/>
  <c r="BQ32" i="3"/>
  <c r="BQ61" i="3" s="1"/>
  <c r="BQ10" i="3"/>
  <c r="BQ28" i="3"/>
  <c r="BE60" i="3"/>
  <c r="BE31" i="3"/>
  <c r="BQ31" i="3" s="1"/>
  <c r="AJ10" i="20"/>
  <c r="BG61" i="3"/>
  <c r="BI60" i="3"/>
  <c r="X10" i="20" s="1"/>
  <c r="BI61" i="3"/>
  <c r="X32" i="20" s="1"/>
  <c r="BI44" i="3"/>
  <c r="BH44" i="3"/>
  <c r="BG44" i="3"/>
  <c r="BF44" i="3"/>
  <c r="BI48" i="3" l="1"/>
  <c r="BQ44" i="3"/>
  <c r="BE61" i="3"/>
  <c r="BE44" i="3"/>
  <c r="BF46" i="3"/>
  <c r="BF66" i="3" s="1"/>
  <c r="BI47" i="3"/>
  <c r="BG46" i="3"/>
  <c r="BG66" i="3" s="1"/>
  <c r="BH48" i="3"/>
  <c r="BH68" i="3" s="1"/>
  <c r="BI49" i="3"/>
  <c r="BI51" i="3"/>
  <c r="BI46" i="3"/>
  <c r="BI50" i="3"/>
  <c r="BH51" i="3"/>
  <c r="BH71" i="3" s="1"/>
  <c r="BH50" i="3"/>
  <c r="BH70" i="3" s="1"/>
  <c r="BH49" i="3"/>
  <c r="BH69" i="3" s="1"/>
  <c r="BH47" i="3"/>
  <c r="BH67" i="3" s="1"/>
  <c r="BH46" i="3"/>
  <c r="BH66" i="3" s="1"/>
  <c r="BG50" i="3"/>
  <c r="BG70" i="3" s="1"/>
  <c r="BG49" i="3"/>
  <c r="BG69" i="3" s="1"/>
  <c r="BG48" i="3"/>
  <c r="BG68" i="3" s="1"/>
  <c r="BG51" i="3"/>
  <c r="BG71" i="3" s="1"/>
  <c r="BG47" i="3"/>
  <c r="BG67" i="3" s="1"/>
  <c r="BF51" i="3"/>
  <c r="BF71" i="3" s="1"/>
  <c r="BF50" i="3"/>
  <c r="BF70" i="3" s="1"/>
  <c r="BF49" i="3"/>
  <c r="BF69" i="3" s="1"/>
  <c r="BF48" i="3"/>
  <c r="BF68" i="3" s="1"/>
  <c r="BF47" i="3"/>
  <c r="BF67" i="3" s="1"/>
  <c r="BE46" i="3" l="1"/>
  <c r="BE66" i="3" s="1"/>
  <c r="BQ66" i="3" s="1"/>
  <c r="BE48" i="3"/>
  <c r="BE68" i="3" s="1"/>
  <c r="BQ68" i="3" s="1"/>
  <c r="BE49" i="3"/>
  <c r="BE69" i="3" s="1"/>
  <c r="BQ69" i="3" s="1"/>
  <c r="BE50" i="3"/>
  <c r="BE70" i="3" s="1"/>
  <c r="BQ70" i="3" s="1"/>
  <c r="BE51" i="3"/>
  <c r="BE71" i="3" s="1"/>
  <c r="BQ71" i="3" s="1"/>
  <c r="BE47" i="3"/>
  <c r="BE67" i="3" s="1"/>
  <c r="BQ67" i="3" s="1"/>
  <c r="BD56" i="3"/>
  <c r="BD55" i="3"/>
  <c r="BD54" i="3"/>
  <c r="AD54" i="3"/>
  <c r="BD43" i="3"/>
  <c r="BD42" i="3"/>
  <c r="BD41" i="3"/>
  <c r="BD40" i="3"/>
  <c r="BD39" i="3"/>
  <c r="BD38" i="3"/>
  <c r="BD37" i="3"/>
  <c r="BD36" i="3"/>
  <c r="BD35" i="3"/>
  <c r="BD34" i="3"/>
  <c r="BD33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BC31" i="3"/>
  <c r="BB31" i="3"/>
  <c r="BA31" i="3"/>
  <c r="X25" i="20" s="1"/>
  <c r="AZ31" i="3"/>
  <c r="AY31" i="3"/>
  <c r="AX31" i="3"/>
  <c r="AW31" i="3"/>
  <c r="AV31" i="3"/>
  <c r="AU31" i="3"/>
  <c r="AT31" i="3"/>
  <c r="AS31" i="3"/>
  <c r="AR31" i="3"/>
  <c r="BD30" i="3"/>
  <c r="BD29" i="3"/>
  <c r="BC28" i="3"/>
  <c r="BB28" i="3"/>
  <c r="BA28" i="3"/>
  <c r="AJ3" i="20" s="1"/>
  <c r="AZ28" i="3"/>
  <c r="AY28" i="3"/>
  <c r="AX28" i="3"/>
  <c r="AW28" i="3"/>
  <c r="AV28" i="3"/>
  <c r="AU28" i="3"/>
  <c r="AT28" i="3"/>
  <c r="AS28" i="3"/>
  <c r="AR28" i="3"/>
  <c r="BD27" i="3"/>
  <c r="BD26" i="3"/>
  <c r="BD25" i="3"/>
  <c r="BD24" i="3"/>
  <c r="BD23" i="3"/>
  <c r="BD22" i="3"/>
  <c r="BD21" i="3"/>
  <c r="BD20" i="3"/>
  <c r="BC19" i="3"/>
  <c r="BB19" i="3"/>
  <c r="BA19" i="3"/>
  <c r="X3" i="20" s="1"/>
  <c r="AZ19" i="3"/>
  <c r="AY19" i="3"/>
  <c r="AX19" i="3"/>
  <c r="AW19" i="3"/>
  <c r="AV19" i="3"/>
  <c r="AU19" i="3"/>
  <c r="AT19" i="3"/>
  <c r="AS19" i="3"/>
  <c r="AR19" i="3"/>
  <c r="BD17" i="3"/>
  <c r="BD16" i="3"/>
  <c r="BD15" i="3"/>
  <c r="BD14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BD12" i="3"/>
  <c r="BD11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BD9" i="3"/>
  <c r="BD8" i="3"/>
  <c r="BD7" i="3"/>
  <c r="BD6" i="3"/>
  <c r="BD5" i="3"/>
  <c r="BD4" i="3"/>
  <c r="BD3" i="3"/>
  <c r="BC2" i="3"/>
  <c r="BB2" i="3"/>
  <c r="BA2" i="3"/>
  <c r="AZ2" i="3"/>
  <c r="AY2" i="3"/>
  <c r="AX2" i="3"/>
  <c r="AW2" i="3"/>
  <c r="AV2" i="3"/>
  <c r="AU2" i="3"/>
  <c r="AT2" i="3"/>
  <c r="AS2" i="3"/>
  <c r="AR2" i="3"/>
  <c r="AP56" i="3"/>
  <c r="AP55" i="3"/>
  <c r="AQ43" i="3"/>
  <c r="AQ35" i="3"/>
  <c r="AQ36" i="3"/>
  <c r="AQ37" i="3"/>
  <c r="AQ38" i="3"/>
  <c r="AQ39" i="3"/>
  <c r="AQ40" i="3"/>
  <c r="AQ41" i="3"/>
  <c r="AQ42" i="3"/>
  <c r="AQ34" i="3"/>
  <c r="AQ33" i="3"/>
  <c r="AL31" i="3"/>
  <c r="AM31" i="3"/>
  <c r="AN31" i="3"/>
  <c r="AO31" i="3"/>
  <c r="AP31" i="3"/>
  <c r="AL32" i="3"/>
  <c r="AM32" i="3"/>
  <c r="AN32" i="3"/>
  <c r="AO32" i="3"/>
  <c r="AP32" i="3"/>
  <c r="AQ30" i="3"/>
  <c r="AQ29" i="3"/>
  <c r="AL28" i="3"/>
  <c r="AM28" i="3"/>
  <c r="AN28" i="3"/>
  <c r="AO28" i="3"/>
  <c r="AP28" i="3"/>
  <c r="AQ22" i="3"/>
  <c r="AQ23" i="3"/>
  <c r="AQ24" i="3"/>
  <c r="AQ25" i="3"/>
  <c r="AQ26" i="3"/>
  <c r="AQ27" i="3"/>
  <c r="AQ21" i="3"/>
  <c r="AQ20" i="3"/>
  <c r="AL19" i="3"/>
  <c r="AM19" i="3"/>
  <c r="AN19" i="3"/>
  <c r="AO19" i="3"/>
  <c r="AP19" i="3"/>
  <c r="AQ17" i="3"/>
  <c r="AQ16" i="3"/>
  <c r="AQ15" i="3"/>
  <c r="AQ14" i="3"/>
  <c r="AL13" i="3"/>
  <c r="AM13" i="3"/>
  <c r="AN13" i="3"/>
  <c r="AO13" i="3"/>
  <c r="AP13" i="3"/>
  <c r="AQ12" i="3"/>
  <c r="AQ11" i="3"/>
  <c r="AQ5" i="3"/>
  <c r="AQ6" i="3"/>
  <c r="AQ7" i="3"/>
  <c r="AQ8" i="3"/>
  <c r="AQ9" i="3"/>
  <c r="AQ4" i="3"/>
  <c r="AQ3" i="3"/>
  <c r="AQ2" i="3"/>
  <c r="AL10" i="3"/>
  <c r="AM10" i="3"/>
  <c r="AN10" i="3"/>
  <c r="AO10" i="3"/>
  <c r="AP10" i="3"/>
  <c r="AL2" i="3"/>
  <c r="AM2" i="3"/>
  <c r="AN2" i="3"/>
  <c r="AO2" i="3"/>
  <c r="AP2" i="3"/>
  <c r="X5" i="20" l="1"/>
  <c r="X27" i="20"/>
  <c r="AJ5" i="20"/>
  <c r="BD59" i="3"/>
  <c r="AL44" i="3"/>
  <c r="AL50" i="3" s="1"/>
  <c r="AN44" i="3"/>
  <c r="AN48" i="3" s="1"/>
  <c r="AM44" i="3"/>
  <c r="AM49" i="3" s="1"/>
  <c r="AP44" i="3"/>
  <c r="AP46" i="3" s="1"/>
  <c r="AO44" i="3"/>
  <c r="AO49" i="3" s="1"/>
  <c r="AU44" i="3"/>
  <c r="AU50" i="3" s="1"/>
  <c r="AU70" i="3" s="1"/>
  <c r="BD32" i="3"/>
  <c r="BD61" i="3" s="1"/>
  <c r="BC44" i="3"/>
  <c r="BC49" i="3" s="1"/>
  <c r="BD28" i="3"/>
  <c r="BD13" i="3"/>
  <c r="AT44" i="3"/>
  <c r="AT47" i="3" s="1"/>
  <c r="AT67" i="3" s="1"/>
  <c r="BB44" i="3"/>
  <c r="BB47" i="3" s="1"/>
  <c r="AS44" i="3"/>
  <c r="AS46" i="3" s="1"/>
  <c r="AS66" i="3" s="1"/>
  <c r="BA44" i="3"/>
  <c r="BA49" i="3" s="1"/>
  <c r="AW44" i="3"/>
  <c r="AW50" i="3" s="1"/>
  <c r="AV44" i="3"/>
  <c r="AV51" i="3" s="1"/>
  <c r="AV71" i="3" s="1"/>
  <c r="AY44" i="3"/>
  <c r="AY47" i="3" s="1"/>
  <c r="BD10" i="3"/>
  <c r="BD19" i="3"/>
  <c r="BD60" i="3" s="1"/>
  <c r="AX44" i="3"/>
  <c r="AX49" i="3" s="1"/>
  <c r="BD31" i="3"/>
  <c r="AR44" i="3"/>
  <c r="AR50" i="3" s="1"/>
  <c r="AR70" i="3" s="1"/>
  <c r="AZ44" i="3"/>
  <c r="AZ50" i="3" s="1"/>
  <c r="AK59" i="3"/>
  <c r="AK13" i="3"/>
  <c r="AK10" i="3"/>
  <c r="AK2" i="3"/>
  <c r="AK19" i="3"/>
  <c r="AK60" i="3" s="1"/>
  <c r="AK28" i="3"/>
  <c r="AK31" i="3"/>
  <c r="AK32" i="3"/>
  <c r="AK61" i="3" s="1"/>
  <c r="AL48" i="3" l="1"/>
  <c r="AN51" i="3"/>
  <c r="AL51" i="3"/>
  <c r="AL47" i="3"/>
  <c r="AN46" i="3"/>
  <c r="AL46" i="3"/>
  <c r="AL49" i="3"/>
  <c r="AN50" i="3"/>
  <c r="AM51" i="3"/>
  <c r="AM46" i="3"/>
  <c r="AM47" i="3"/>
  <c r="AM50" i="3"/>
  <c r="AP49" i="3"/>
  <c r="AN49" i="3"/>
  <c r="BC48" i="3"/>
  <c r="BC51" i="3"/>
  <c r="BC46" i="3"/>
  <c r="AN47" i="3"/>
  <c r="AU49" i="3"/>
  <c r="AU69" i="3" s="1"/>
  <c r="AO46" i="3"/>
  <c r="AM48" i="3"/>
  <c r="AO51" i="3"/>
  <c r="AO50" i="3"/>
  <c r="AP50" i="3"/>
  <c r="AU46" i="3"/>
  <c r="AU66" i="3" s="1"/>
  <c r="AU47" i="3"/>
  <c r="AU67" i="3" s="1"/>
  <c r="AP51" i="3"/>
  <c r="AO48" i="3"/>
  <c r="AP48" i="3"/>
  <c r="AO47" i="3"/>
  <c r="AU51" i="3"/>
  <c r="AU71" i="3" s="1"/>
  <c r="AP47" i="3"/>
  <c r="BC50" i="3"/>
  <c r="AU48" i="3"/>
  <c r="AU68" i="3" s="1"/>
  <c r="BC47" i="3"/>
  <c r="AS47" i="3"/>
  <c r="AS67" i="3" s="1"/>
  <c r="AT48" i="3"/>
  <c r="AT68" i="3" s="1"/>
  <c r="BA51" i="3"/>
  <c r="BB48" i="3"/>
  <c r="AS50" i="3"/>
  <c r="AS70" i="3" s="1"/>
  <c r="AS51" i="3"/>
  <c r="AS71" i="3" s="1"/>
  <c r="BB51" i="3"/>
  <c r="AW47" i="3"/>
  <c r="AS49" i="3"/>
  <c r="AS69" i="3" s="1"/>
  <c r="AV47" i="3"/>
  <c r="AV67" i="3" s="1"/>
  <c r="AT51" i="3"/>
  <c r="AT71" i="3" s="1"/>
  <c r="AS48" i="3"/>
  <c r="AS68" i="3" s="1"/>
  <c r="BA48" i="3"/>
  <c r="BA50" i="3"/>
  <c r="BA47" i="3"/>
  <c r="BA46" i="3"/>
  <c r="AZ47" i="3"/>
  <c r="AV49" i="3"/>
  <c r="AV69" i="3" s="1"/>
  <c r="BB50" i="3"/>
  <c r="BB49" i="3"/>
  <c r="AT50" i="3"/>
  <c r="AT70" i="3" s="1"/>
  <c r="BB46" i="3"/>
  <c r="AY50" i="3"/>
  <c r="AT49" i="3"/>
  <c r="AT69" i="3" s="1"/>
  <c r="AV46" i="3"/>
  <c r="AV66" i="3" s="1"/>
  <c r="AV50" i="3"/>
  <c r="AV70" i="3" s="1"/>
  <c r="AT46" i="3"/>
  <c r="AT66" i="3" s="1"/>
  <c r="AY48" i="3"/>
  <c r="AY51" i="3"/>
  <c r="AZ49" i="3"/>
  <c r="AV48" i="3"/>
  <c r="AV68" i="3" s="1"/>
  <c r="AX50" i="3"/>
  <c r="AW49" i="3"/>
  <c r="AW46" i="3"/>
  <c r="AW48" i="3"/>
  <c r="AW51" i="3"/>
  <c r="AY46" i="3"/>
  <c r="AX51" i="3"/>
  <c r="AY49" i="3"/>
  <c r="AR48" i="3"/>
  <c r="AR68" i="3" s="1"/>
  <c r="AZ48" i="3"/>
  <c r="AX48" i="3"/>
  <c r="AR47" i="3"/>
  <c r="AR67" i="3" s="1"/>
  <c r="AX47" i="3"/>
  <c r="AZ46" i="3"/>
  <c r="AR51" i="3"/>
  <c r="AR71" i="3" s="1"/>
  <c r="AR49" i="3"/>
  <c r="AR69" i="3" s="1"/>
  <c r="AR46" i="3"/>
  <c r="AR66" i="3" s="1"/>
  <c r="AX46" i="3"/>
  <c r="BD44" i="3"/>
  <c r="AZ51" i="3"/>
  <c r="AK44" i="3"/>
  <c r="AK51" i="3" s="1"/>
  <c r="BD70" i="3" l="1"/>
  <c r="BD67" i="3"/>
  <c r="BD68" i="3"/>
  <c r="BD66" i="3"/>
  <c r="BD69" i="3"/>
  <c r="BD71" i="3"/>
  <c r="AK47" i="3"/>
  <c r="AK48" i="3"/>
  <c r="AK49" i="3"/>
  <c r="AK50" i="3"/>
  <c r="AK46" i="3"/>
  <c r="AJ59" i="3"/>
  <c r="AJ2" i="3"/>
  <c r="AJ10" i="3"/>
  <c r="AJ13" i="3"/>
  <c r="AJ19" i="3"/>
  <c r="AJ60" i="3" s="1"/>
  <c r="AJ28" i="3"/>
  <c r="AJ31" i="3"/>
  <c r="AJ32" i="3"/>
  <c r="AJ61" i="3" s="1"/>
  <c r="AJ44" i="3" l="1"/>
  <c r="AJ46" i="3" s="1"/>
  <c r="AI59" i="3"/>
  <c r="AI10" i="3"/>
  <c r="AI2" i="3"/>
  <c r="AI13" i="3"/>
  <c r="AI31" i="3"/>
  <c r="AI32" i="3"/>
  <c r="AI61" i="3" s="1"/>
  <c r="AI28" i="3"/>
  <c r="AI19" i="3"/>
  <c r="AI60" i="3" s="1"/>
  <c r="AJ49" i="3" l="1"/>
  <c r="AJ48" i="3"/>
  <c r="AJ50" i="3"/>
  <c r="AJ51" i="3"/>
  <c r="AJ47" i="3"/>
  <c r="AI44" i="3"/>
  <c r="AI48" i="3" s="1"/>
  <c r="AG59" i="3"/>
  <c r="AH56" i="3"/>
  <c r="AQ56" i="3" s="1"/>
  <c r="AH55" i="3"/>
  <c r="AQ55" i="3" s="1"/>
  <c r="AH54" i="3"/>
  <c r="AH32" i="3"/>
  <c r="AH31" i="3"/>
  <c r="AH28" i="3"/>
  <c r="AH19" i="3"/>
  <c r="AH13" i="3"/>
  <c r="AH2" i="3"/>
  <c r="AH10" i="3"/>
  <c r="AH60" i="3" l="1"/>
  <c r="AH59" i="3"/>
  <c r="AQ54" i="3"/>
  <c r="AQ59" i="3" s="1"/>
  <c r="AH61" i="3"/>
  <c r="AI50" i="3"/>
  <c r="AI51" i="3"/>
  <c r="AH44" i="3"/>
  <c r="AH47" i="3" s="1"/>
  <c r="AH67" i="3" s="1"/>
  <c r="AI49" i="3"/>
  <c r="AI46" i="3"/>
  <c r="AI47" i="3"/>
  <c r="AG28" i="3"/>
  <c r="AG32" i="3"/>
  <c r="AG61" i="3" s="1"/>
  <c r="AG31" i="3"/>
  <c r="AG19" i="3"/>
  <c r="AG60" i="3" s="1"/>
  <c r="AG13" i="3"/>
  <c r="AG10" i="3"/>
  <c r="AG2" i="3"/>
  <c r="AQ64" i="3"/>
  <c r="AH46" i="3" l="1"/>
  <c r="AH66" i="3" s="1"/>
  <c r="AH48" i="3"/>
  <c r="AH68" i="3" s="1"/>
  <c r="AH50" i="3"/>
  <c r="AH70" i="3" s="1"/>
  <c r="AH49" i="3"/>
  <c r="AH69" i="3" s="1"/>
  <c r="AH51" i="3"/>
  <c r="AH71" i="3" s="1"/>
  <c r="AG44" i="3"/>
  <c r="AG47" i="3" s="1"/>
  <c r="AG67" i="3" s="1"/>
  <c r="AF59" i="3"/>
  <c r="AF32" i="3"/>
  <c r="AF61" i="3" s="1"/>
  <c r="AF31" i="3"/>
  <c r="AF28" i="3"/>
  <c r="AF19" i="3"/>
  <c r="AF60" i="3" s="1"/>
  <c r="AF13" i="3"/>
  <c r="AF10" i="3"/>
  <c r="AF2" i="3"/>
  <c r="AG46" i="3" l="1"/>
  <c r="AG66" i="3" s="1"/>
  <c r="AG49" i="3"/>
  <c r="AG69" i="3" s="1"/>
  <c r="AG48" i="3"/>
  <c r="AG68" i="3" s="1"/>
  <c r="AG50" i="3"/>
  <c r="AG70" i="3" s="1"/>
  <c r="AG51" i="3"/>
  <c r="AG71" i="3" s="1"/>
  <c r="AF44" i="3"/>
  <c r="AF47" i="3" s="1"/>
  <c r="AF67" i="3" s="1"/>
  <c r="AE59" i="3"/>
  <c r="AE2" i="3"/>
  <c r="AE10" i="3"/>
  <c r="AQ10" i="3" s="1"/>
  <c r="AE13" i="3"/>
  <c r="AQ13" i="3" s="1"/>
  <c r="AE19" i="3"/>
  <c r="AQ19" i="3" s="1"/>
  <c r="AQ60" i="3" s="1"/>
  <c r="AE28" i="3"/>
  <c r="AQ28" i="3" s="1"/>
  <c r="AE31" i="3"/>
  <c r="AQ31" i="3" s="1"/>
  <c r="AE32" i="3"/>
  <c r="AQ32" i="3" s="1"/>
  <c r="AQ61" i="3" s="1"/>
  <c r="AD55" i="3"/>
  <c r="AD56" i="3"/>
  <c r="AC59" i="3"/>
  <c r="AD64" i="3"/>
  <c r="AD34" i="3"/>
  <c r="AD35" i="3"/>
  <c r="AD36" i="3"/>
  <c r="AD37" i="3"/>
  <c r="AD38" i="3"/>
  <c r="AD39" i="3"/>
  <c r="AD40" i="3"/>
  <c r="AD41" i="3"/>
  <c r="AD42" i="3"/>
  <c r="AD43" i="3"/>
  <c r="AD33" i="3"/>
  <c r="AC31" i="3"/>
  <c r="AD30" i="3"/>
  <c r="AD29" i="3"/>
  <c r="AD21" i="3"/>
  <c r="AD22" i="3"/>
  <c r="AD23" i="3"/>
  <c r="AD24" i="3"/>
  <c r="AD25" i="3"/>
  <c r="AD26" i="3"/>
  <c r="AD27" i="3"/>
  <c r="AD20" i="3"/>
  <c r="AD15" i="3"/>
  <c r="AD16" i="3"/>
  <c r="AD17" i="3"/>
  <c r="AD14" i="3"/>
  <c r="AD12" i="3"/>
  <c r="AD11" i="3"/>
  <c r="AD4" i="3"/>
  <c r="AD5" i="3"/>
  <c r="AD6" i="3"/>
  <c r="AD7" i="3"/>
  <c r="AD8" i="3"/>
  <c r="AD9" i="3"/>
  <c r="AD3" i="3"/>
  <c r="AC2" i="3"/>
  <c r="AC10" i="3"/>
  <c r="AC13" i="3"/>
  <c r="AC19" i="3"/>
  <c r="AC28" i="3"/>
  <c r="AC32" i="3"/>
  <c r="AC61" i="3" s="1"/>
  <c r="AB59" i="3"/>
  <c r="AQ44" i="3" l="1"/>
  <c r="AQ45" i="3" s="1"/>
  <c r="AD59" i="3"/>
  <c r="AC44" i="3"/>
  <c r="AC48" i="3" s="1"/>
  <c r="AC68" i="3" s="1"/>
  <c r="AC60" i="3"/>
  <c r="AE44" i="3"/>
  <c r="AE61" i="3"/>
  <c r="AE60" i="3"/>
  <c r="AF48" i="3"/>
  <c r="AF68" i="3" s="1"/>
  <c r="AF46" i="3"/>
  <c r="AF66" i="3" s="1"/>
  <c r="AF49" i="3"/>
  <c r="AF69" i="3" s="1"/>
  <c r="AF51" i="3"/>
  <c r="AF71" i="3" s="1"/>
  <c r="AF50" i="3"/>
  <c r="AF70" i="3" s="1"/>
  <c r="AB2" i="3"/>
  <c r="AB10" i="3"/>
  <c r="AB13" i="3"/>
  <c r="AB31" i="3"/>
  <c r="AB32" i="3"/>
  <c r="AB61" i="3" s="1"/>
  <c r="AB19" i="3"/>
  <c r="AB28" i="3"/>
  <c r="AC49" i="3" l="1"/>
  <c r="AC69" i="3" s="1"/>
  <c r="AC51" i="3"/>
  <c r="AC71" i="3" s="1"/>
  <c r="AC46" i="3"/>
  <c r="AC66" i="3" s="1"/>
  <c r="AC50" i="3"/>
  <c r="AC70" i="3" s="1"/>
  <c r="AC47" i="3"/>
  <c r="AC67" i="3" s="1"/>
  <c r="AE51" i="3"/>
  <c r="AE71" i="3" s="1"/>
  <c r="AE46" i="3"/>
  <c r="AE66" i="3" s="1"/>
  <c r="AQ66" i="3" s="1"/>
  <c r="AE48" i="3"/>
  <c r="AE68" i="3" s="1"/>
  <c r="AE49" i="3"/>
  <c r="AE69" i="3" s="1"/>
  <c r="AE47" i="3"/>
  <c r="AE67" i="3" s="1"/>
  <c r="AE50" i="3"/>
  <c r="AE70" i="3" s="1"/>
  <c r="AB60" i="3"/>
  <c r="AB44" i="3"/>
  <c r="AB47" i="3" s="1"/>
  <c r="AB67" i="3" s="1"/>
  <c r="AD2" i="3"/>
  <c r="AQ69" i="3" l="1"/>
  <c r="AQ68" i="3"/>
  <c r="AQ67" i="3"/>
  <c r="AQ70" i="3"/>
  <c r="AQ71" i="3"/>
  <c r="AB49" i="3"/>
  <c r="AB69" i="3" s="1"/>
  <c r="AB50" i="3"/>
  <c r="AB70" i="3" s="1"/>
  <c r="AB46" i="3"/>
  <c r="AB66" i="3" s="1"/>
  <c r="AB51" i="3"/>
  <c r="AB71" i="3" s="1"/>
  <c r="AB48" i="3"/>
  <c r="AB68" i="3" s="1"/>
  <c r="AA59" i="3"/>
  <c r="AA31" i="3"/>
  <c r="AA2" i="3"/>
  <c r="AA10" i="3"/>
  <c r="AA13" i="3"/>
  <c r="AA19" i="3"/>
  <c r="AA60" i="3" s="1"/>
  <c r="AA28" i="3"/>
  <c r="AA32" i="3"/>
  <c r="AA61" i="3" s="1"/>
  <c r="Z59" i="3"/>
  <c r="AA44" i="3" l="1"/>
  <c r="AA48" i="3" s="1"/>
  <c r="AA68" i="3" s="1"/>
  <c r="X1" i="19"/>
  <c r="X2" i="19"/>
  <c r="X3" i="19"/>
  <c r="X4" i="19"/>
  <c r="X5" i="19"/>
  <c r="X6" i="19"/>
  <c r="X7" i="19"/>
  <c r="X8" i="19"/>
  <c r="X9" i="19"/>
  <c r="X10" i="19"/>
  <c r="X11" i="19"/>
  <c r="X12" i="19"/>
  <c r="X13" i="19"/>
  <c r="X14" i="19"/>
  <c r="X15" i="19"/>
  <c r="X16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X33" i="19"/>
  <c r="X34" i="19"/>
  <c r="X35" i="19"/>
  <c r="X36" i="19"/>
  <c r="X37" i="19"/>
  <c r="X38" i="19"/>
  <c r="X39" i="19"/>
  <c r="X40" i="19"/>
  <c r="X41" i="19"/>
  <c r="X42" i="19"/>
  <c r="X43" i="19"/>
  <c r="X44" i="19"/>
  <c r="X45" i="19"/>
  <c r="X46" i="19"/>
  <c r="X47" i="19"/>
  <c r="X48" i="19"/>
  <c r="X49" i="19"/>
  <c r="X50" i="19"/>
  <c r="X51" i="19"/>
  <c r="X52" i="19"/>
  <c r="X53" i="19"/>
  <c r="X54" i="19"/>
  <c r="X55" i="19"/>
  <c r="X56" i="19"/>
  <c r="X57" i="19"/>
  <c r="X58" i="19"/>
  <c r="X59" i="19"/>
  <c r="X60" i="19"/>
  <c r="X61" i="19"/>
  <c r="X62" i="19"/>
  <c r="X63" i="19"/>
  <c r="X64" i="19"/>
  <c r="X65" i="19"/>
  <c r="X66" i="19"/>
  <c r="X67" i="19"/>
  <c r="X68" i="19"/>
  <c r="X69" i="19"/>
  <c r="X70" i="19"/>
  <c r="W1" i="19"/>
  <c r="W2" i="19"/>
  <c r="W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T1" i="19"/>
  <c r="T2" i="19"/>
  <c r="T3" i="19"/>
  <c r="T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T49" i="19"/>
  <c r="T50" i="19"/>
  <c r="T51" i="19"/>
  <c r="T52" i="19"/>
  <c r="T53" i="19"/>
  <c r="T54" i="19"/>
  <c r="T55" i="19"/>
  <c r="T56" i="19"/>
  <c r="T57" i="19"/>
  <c r="T58" i="19"/>
  <c r="T59" i="19"/>
  <c r="T60" i="19"/>
  <c r="T61" i="19"/>
  <c r="T62" i="19"/>
  <c r="T63" i="19"/>
  <c r="T64" i="19"/>
  <c r="T65" i="19"/>
  <c r="T66" i="19"/>
  <c r="T67" i="19"/>
  <c r="T68" i="19"/>
  <c r="T69" i="19"/>
  <c r="T70" i="19"/>
  <c r="S1" i="19"/>
  <c r="S2" i="19"/>
  <c r="S3" i="19"/>
  <c r="S4" i="19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65" i="19"/>
  <c r="S66" i="19"/>
  <c r="S67" i="19"/>
  <c r="S68" i="19"/>
  <c r="S69" i="19"/>
  <c r="S70" i="19"/>
  <c r="P1" i="19"/>
  <c r="P2" i="19"/>
  <c r="P3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52" i="19"/>
  <c r="P53" i="19"/>
  <c r="P54" i="19"/>
  <c r="P55" i="19"/>
  <c r="P56" i="19"/>
  <c r="P57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P76" i="19"/>
  <c r="P77" i="19"/>
  <c r="P78" i="19"/>
  <c r="P79" i="19"/>
  <c r="P80" i="19"/>
  <c r="P81" i="19"/>
  <c r="P82" i="19"/>
  <c r="P83" i="19"/>
  <c r="P84" i="19"/>
  <c r="P85" i="19"/>
  <c r="P86" i="19"/>
  <c r="P87" i="19"/>
  <c r="P88" i="19"/>
  <c r="P89" i="19"/>
  <c r="P90" i="19"/>
  <c r="P91" i="19"/>
  <c r="P92" i="19"/>
  <c r="P93" i="19"/>
  <c r="P94" i="19"/>
  <c r="P95" i="19"/>
  <c r="P96" i="19"/>
  <c r="P97" i="19"/>
  <c r="P98" i="19"/>
  <c r="P99" i="19"/>
  <c r="P100" i="19"/>
  <c r="O1" i="19"/>
  <c r="O2" i="19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L1" i="19"/>
  <c r="L2" i="19"/>
  <c r="L3" i="19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K1" i="19"/>
  <c r="K2" i="19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K80" i="19"/>
  <c r="K81" i="19"/>
  <c r="K82" i="19"/>
  <c r="K83" i="19"/>
  <c r="K84" i="19"/>
  <c r="K85" i="19"/>
  <c r="K86" i="19"/>
  <c r="K87" i="19"/>
  <c r="K88" i="19"/>
  <c r="K89" i="19"/>
  <c r="K90" i="19"/>
  <c r="K91" i="19"/>
  <c r="K92" i="19"/>
  <c r="K93" i="19"/>
  <c r="K94" i="19"/>
  <c r="K95" i="19"/>
  <c r="K96" i="19"/>
  <c r="K97" i="19"/>
  <c r="K98" i="19"/>
  <c r="K99" i="19"/>
  <c r="K100" i="19"/>
  <c r="H1" i="19"/>
  <c r="H2" i="19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G1" i="19"/>
  <c r="G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D1" i="19"/>
  <c r="D2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C1" i="19"/>
  <c r="C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X1" i="17"/>
  <c r="X2" i="17"/>
  <c r="X3" i="17"/>
  <c r="X4" i="17"/>
  <c r="X5" i="17"/>
  <c r="X6" i="17"/>
  <c r="X7" i="17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5" i="17"/>
  <c r="X36" i="17"/>
  <c r="X37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52" i="17"/>
  <c r="X53" i="17"/>
  <c r="X54" i="17"/>
  <c r="X55" i="17"/>
  <c r="X56" i="17"/>
  <c r="X57" i="17"/>
  <c r="X58" i="17"/>
  <c r="X59" i="17"/>
  <c r="X60" i="17"/>
  <c r="X61" i="17"/>
  <c r="X62" i="17"/>
  <c r="X63" i="17"/>
  <c r="X64" i="17"/>
  <c r="X65" i="17"/>
  <c r="X66" i="17"/>
  <c r="X67" i="17"/>
  <c r="X68" i="17"/>
  <c r="X69" i="17"/>
  <c r="X70" i="17"/>
  <c r="W1" i="17"/>
  <c r="W2" i="17"/>
  <c r="W3" i="17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T1" i="17"/>
  <c r="T2" i="17"/>
  <c r="T3" i="17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S1" i="17"/>
  <c r="S2" i="17"/>
  <c r="S3" i="17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P1" i="17"/>
  <c r="P2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O1" i="17"/>
  <c r="O2" i="17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L1" i="17"/>
  <c r="L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K1" i="17"/>
  <c r="K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H1" i="17"/>
  <c r="H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G1" i="17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D1" i="17"/>
  <c r="D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C1" i="17"/>
  <c r="C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AA50" i="3" l="1"/>
  <c r="AA70" i="3" s="1"/>
  <c r="AA47" i="3"/>
  <c r="AA67" i="3" s="1"/>
  <c r="AA51" i="3"/>
  <c r="AA71" i="3" s="1"/>
  <c r="AA49" i="3"/>
  <c r="AA69" i="3" s="1"/>
  <c r="AA46" i="3"/>
  <c r="AA66" i="3" s="1"/>
  <c r="Z32" i="3"/>
  <c r="Z61" i="3" s="1"/>
  <c r="Z31" i="3"/>
  <c r="Z28" i="3"/>
  <c r="Z19" i="3"/>
  <c r="Z13" i="3"/>
  <c r="Z10" i="3"/>
  <c r="Z2" i="3"/>
  <c r="Z44" i="3" l="1"/>
  <c r="Z46" i="3" s="1"/>
  <c r="Z66" i="3" s="1"/>
  <c r="Z60" i="3"/>
  <c r="AD32" i="3"/>
  <c r="AD61" i="3" s="1"/>
  <c r="Z48" i="3" l="1"/>
  <c r="Z68" i="3" s="1"/>
  <c r="Z50" i="3"/>
  <c r="Z70" i="3" s="1"/>
  <c r="Z47" i="3"/>
  <c r="Z67" i="3" s="1"/>
  <c r="Z51" i="3"/>
  <c r="Z71" i="3" s="1"/>
  <c r="Z49" i="3"/>
  <c r="Z69" i="3" s="1"/>
  <c r="AD31" i="3"/>
  <c r="X1" i="10"/>
  <c r="X2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W1" i="10"/>
  <c r="W2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T1" i="10"/>
  <c r="T2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S1" i="10"/>
  <c r="S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P1" i="10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O1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L1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K1" i="10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H1" i="10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G1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D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C1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S32" i="3"/>
  <c r="S61" i="3" s="1"/>
  <c r="T32" i="3"/>
  <c r="T61" i="3" s="1"/>
  <c r="U32" i="3"/>
  <c r="U61" i="3" s="1"/>
  <c r="V32" i="3"/>
  <c r="V61" i="3" s="1"/>
  <c r="W32" i="3"/>
  <c r="W61" i="3" s="1"/>
  <c r="X32" i="3"/>
  <c r="X61" i="3" s="1"/>
  <c r="Y32" i="3"/>
  <c r="Y61" i="3" s="1"/>
  <c r="R32" i="3"/>
  <c r="R61" i="3" s="1"/>
  <c r="Y59" i="3" l="1"/>
  <c r="Y2" i="3"/>
  <c r="Y10" i="3"/>
  <c r="Y13" i="3"/>
  <c r="Y28" i="3"/>
  <c r="Y19" i="3"/>
  <c r="Y31" i="3"/>
  <c r="Y44" i="3" l="1"/>
  <c r="Y47" i="3" s="1"/>
  <c r="Y67" i="3" s="1"/>
  <c r="Y60" i="3"/>
  <c r="Y51" i="3" l="1"/>
  <c r="Y71" i="3" s="1"/>
  <c r="Y48" i="3"/>
  <c r="Y68" i="3" s="1"/>
  <c r="Y46" i="3"/>
  <c r="Y66" i="3" s="1"/>
  <c r="Y49" i="3"/>
  <c r="Y69" i="3" s="1"/>
  <c r="Y50" i="3"/>
  <c r="Y70" i="3" s="1"/>
  <c r="X59" i="3"/>
  <c r="X31" i="3"/>
  <c r="X19" i="3"/>
  <c r="X60" i="3" s="1"/>
  <c r="X13" i="3"/>
  <c r="X10" i="3"/>
  <c r="X2" i="3"/>
  <c r="X28" i="3"/>
  <c r="X44" i="3" l="1"/>
  <c r="X51" i="3" s="1"/>
  <c r="X71" i="3" s="1"/>
  <c r="W59" i="3"/>
  <c r="X50" i="3" l="1"/>
  <c r="X70" i="3" s="1"/>
  <c r="X49" i="3"/>
  <c r="X69" i="3" s="1"/>
  <c r="X47" i="3"/>
  <c r="X67" i="3" s="1"/>
  <c r="X46" i="3"/>
  <c r="X66" i="3" s="1"/>
  <c r="X48" i="3"/>
  <c r="X68" i="3" s="1"/>
  <c r="W2" i="3"/>
  <c r="W10" i="3"/>
  <c r="W13" i="3"/>
  <c r="W19" i="3"/>
  <c r="W60" i="3" s="1"/>
  <c r="W28" i="3"/>
  <c r="W31" i="3"/>
  <c r="W44" i="3" l="1"/>
  <c r="W50" i="3" s="1"/>
  <c r="W70" i="3" s="1"/>
  <c r="AD10" i="3"/>
  <c r="AD28" i="3" l="1"/>
  <c r="AD13" i="3"/>
  <c r="W46" i="3"/>
  <c r="W66" i="3" s="1"/>
  <c r="W48" i="3"/>
  <c r="W68" i="3" s="1"/>
  <c r="W49" i="3"/>
  <c r="W69" i="3" s="1"/>
  <c r="AD19" i="3"/>
  <c r="AD60" i="3" s="1"/>
  <c r="W47" i="3"/>
  <c r="W67" i="3" s="1"/>
  <c r="W51" i="3"/>
  <c r="W71" i="3" s="1"/>
  <c r="S59" i="3"/>
  <c r="T59" i="3"/>
  <c r="U59" i="3"/>
  <c r="V59" i="3"/>
  <c r="R59" i="3"/>
  <c r="AD44" i="3" l="1"/>
  <c r="V31" i="3" l="1"/>
  <c r="V28" i="3"/>
  <c r="V19" i="3"/>
  <c r="V13" i="3"/>
  <c r="V10" i="3"/>
  <c r="V2" i="3"/>
  <c r="V60" i="3" l="1"/>
  <c r="V44" i="3"/>
  <c r="V47" i="3" s="1"/>
  <c r="V67" i="3" s="1"/>
  <c r="Q64" i="3"/>
  <c r="Q34" i="3"/>
  <c r="Q35" i="3"/>
  <c r="Q36" i="3"/>
  <c r="Q37" i="3"/>
  <c r="Q38" i="3"/>
  <c r="Q39" i="3"/>
  <c r="Q40" i="3"/>
  <c r="Q41" i="3"/>
  <c r="Q42" i="3"/>
  <c r="Q43" i="3"/>
  <c r="Q33" i="3"/>
  <c r="Q30" i="3"/>
  <c r="Q29" i="3"/>
  <c r="Q21" i="3"/>
  <c r="Q22" i="3"/>
  <c r="Q23" i="3"/>
  <c r="Q24" i="3"/>
  <c r="Q25" i="3"/>
  <c r="Q26" i="3"/>
  <c r="Q27" i="3"/>
  <c r="Q20" i="3"/>
  <c r="Q15" i="3"/>
  <c r="Q16" i="3"/>
  <c r="Q17" i="3"/>
  <c r="Q14" i="3"/>
  <c r="Q12" i="3"/>
  <c r="Q11" i="3"/>
  <c r="Q4" i="3"/>
  <c r="Q5" i="3"/>
  <c r="Q6" i="3"/>
  <c r="Q7" i="3"/>
  <c r="Q8" i="3"/>
  <c r="Q9" i="3"/>
  <c r="Q3" i="3"/>
  <c r="E28" i="3"/>
  <c r="E19" i="3"/>
  <c r="E31" i="3"/>
  <c r="E10" i="3"/>
  <c r="E13" i="3"/>
  <c r="E2" i="3"/>
  <c r="V46" i="3" l="1"/>
  <c r="V66" i="3" s="1"/>
  <c r="V48" i="3"/>
  <c r="V68" i="3" s="1"/>
  <c r="V49" i="3"/>
  <c r="V69" i="3" s="1"/>
  <c r="V51" i="3"/>
  <c r="V71" i="3" s="1"/>
  <c r="V50" i="3"/>
  <c r="V70" i="3" s="1"/>
  <c r="E44" i="3"/>
  <c r="E49" i="3" l="1"/>
  <c r="E69" i="3" s="1"/>
  <c r="E48" i="3"/>
  <c r="E68" i="3" s="1"/>
  <c r="E50" i="3"/>
  <c r="E70" i="3" s="1"/>
  <c r="E46" i="3"/>
  <c r="E66" i="3" s="1"/>
  <c r="E47" i="3"/>
  <c r="E67" i="3" s="1"/>
  <c r="E51" i="3"/>
  <c r="E71" i="3" s="1"/>
  <c r="U31" i="3" l="1"/>
  <c r="U28" i="3"/>
  <c r="U19" i="3"/>
  <c r="U60" i="3" s="1"/>
  <c r="U13" i="3"/>
  <c r="U10" i="3"/>
  <c r="U2" i="3"/>
  <c r="U44" i="3" l="1"/>
  <c r="U47" i="3" s="1"/>
  <c r="U67" i="3" s="1"/>
  <c r="U50" i="3" l="1"/>
  <c r="U70" i="3" s="1"/>
  <c r="U46" i="3"/>
  <c r="U66" i="3" s="1"/>
  <c r="U51" i="3"/>
  <c r="U71" i="3" s="1"/>
  <c r="U48" i="3"/>
  <c r="U68" i="3" s="1"/>
  <c r="U49" i="3"/>
  <c r="U69" i="3" s="1"/>
  <c r="T31" i="3" l="1"/>
  <c r="S31" i="3"/>
  <c r="R31" i="3"/>
  <c r="P31" i="3"/>
  <c r="O31" i="3"/>
  <c r="N31" i="3"/>
  <c r="M31" i="3"/>
  <c r="L31" i="3"/>
  <c r="K31" i="3"/>
  <c r="J31" i="3"/>
  <c r="I31" i="3"/>
  <c r="H31" i="3"/>
  <c r="G31" i="3"/>
  <c r="F31" i="3"/>
  <c r="T28" i="3"/>
  <c r="S28" i="3"/>
  <c r="R28" i="3"/>
  <c r="P28" i="3"/>
  <c r="O28" i="3"/>
  <c r="N28" i="3"/>
  <c r="M28" i="3"/>
  <c r="L28" i="3"/>
  <c r="K28" i="3"/>
  <c r="J28" i="3"/>
  <c r="I28" i="3"/>
  <c r="H28" i="3"/>
  <c r="G28" i="3"/>
  <c r="F28" i="3"/>
  <c r="T19" i="3"/>
  <c r="T60" i="3" s="1"/>
  <c r="S19" i="3"/>
  <c r="S60" i="3" s="1"/>
  <c r="R19" i="3"/>
  <c r="P19" i="3"/>
  <c r="O19" i="3"/>
  <c r="N19" i="3"/>
  <c r="M19" i="3"/>
  <c r="L19" i="3"/>
  <c r="K19" i="3"/>
  <c r="J19" i="3"/>
  <c r="I19" i="3"/>
  <c r="H19" i="3"/>
  <c r="G19" i="3"/>
  <c r="F19" i="3"/>
  <c r="Q18" i="3"/>
  <c r="T13" i="3"/>
  <c r="S13" i="3"/>
  <c r="R13" i="3"/>
  <c r="P13" i="3"/>
  <c r="O13" i="3"/>
  <c r="N13" i="3"/>
  <c r="M13" i="3"/>
  <c r="L13" i="3"/>
  <c r="K13" i="3"/>
  <c r="J13" i="3"/>
  <c r="I13" i="3"/>
  <c r="H13" i="3"/>
  <c r="G13" i="3"/>
  <c r="F13" i="3"/>
  <c r="T10" i="3"/>
  <c r="S10" i="3"/>
  <c r="R10" i="3"/>
  <c r="P10" i="3"/>
  <c r="O10" i="3"/>
  <c r="N10" i="3"/>
  <c r="M10" i="3"/>
  <c r="L10" i="3"/>
  <c r="K10" i="3"/>
  <c r="J10" i="3"/>
  <c r="I10" i="3"/>
  <c r="H10" i="3"/>
  <c r="G10" i="3"/>
  <c r="F10" i="3"/>
  <c r="T2" i="3"/>
  <c r="S2" i="3"/>
  <c r="R2" i="3"/>
  <c r="P2" i="3"/>
  <c r="O2" i="3"/>
  <c r="N2" i="3"/>
  <c r="M2" i="3"/>
  <c r="L2" i="3"/>
  <c r="K2" i="3"/>
  <c r="J2" i="3"/>
  <c r="I2" i="3"/>
  <c r="H2" i="3"/>
  <c r="G2" i="3"/>
  <c r="F2" i="3"/>
  <c r="R60" i="3" l="1"/>
  <c r="Q31" i="3"/>
  <c r="Q28" i="3"/>
  <c r="Q13" i="3"/>
  <c r="Q19" i="3"/>
  <c r="Q10" i="3"/>
  <c r="Q2" i="3"/>
  <c r="S44" i="3"/>
  <c r="S49" i="3" s="1"/>
  <c r="S69" i="3" s="1"/>
  <c r="I44" i="3"/>
  <c r="I48" i="3" s="1"/>
  <c r="I68" i="3" s="1"/>
  <c r="R44" i="3"/>
  <c r="J44" i="3"/>
  <c r="J50" i="3" s="1"/>
  <c r="J70" i="3" s="1"/>
  <c r="K44" i="3"/>
  <c r="K51" i="3" s="1"/>
  <c r="K71" i="3" s="1"/>
  <c r="T44" i="3"/>
  <c r="T50" i="3" s="1"/>
  <c r="T70" i="3" s="1"/>
  <c r="F44" i="3"/>
  <c r="F46" i="3" s="1"/>
  <c r="F66" i="3" s="1"/>
  <c r="G44" i="3"/>
  <c r="G47" i="3" s="1"/>
  <c r="G67" i="3" s="1"/>
  <c r="H44" i="3"/>
  <c r="H46" i="3" s="1"/>
  <c r="H66" i="3" s="1"/>
  <c r="P44" i="3"/>
  <c r="P48" i="3" s="1"/>
  <c r="P68" i="3" s="1"/>
  <c r="N44" i="3"/>
  <c r="N48" i="3" s="1"/>
  <c r="N68" i="3" s="1"/>
  <c r="L44" i="3"/>
  <c r="L49" i="3" s="1"/>
  <c r="L69" i="3" s="1"/>
  <c r="O44" i="3"/>
  <c r="O47" i="3" s="1"/>
  <c r="O67" i="3" s="1"/>
  <c r="M44" i="3"/>
  <c r="M51" i="3" s="1"/>
  <c r="M71" i="3" s="1"/>
  <c r="R50" i="3" l="1"/>
  <c r="R70" i="3" s="1"/>
  <c r="I47" i="3"/>
  <c r="I67" i="3" s="1"/>
  <c r="F47" i="3"/>
  <c r="F67" i="3" s="1"/>
  <c r="K47" i="3"/>
  <c r="K67" i="3" s="1"/>
  <c r="G51" i="3"/>
  <c r="G71" i="3" s="1"/>
  <c r="O50" i="3"/>
  <c r="O70" i="3" s="1"/>
  <c r="O49" i="3"/>
  <c r="O69" i="3" s="1"/>
  <c r="G50" i="3"/>
  <c r="G70" i="3" s="1"/>
  <c r="L47" i="3"/>
  <c r="L67" i="3" s="1"/>
  <c r="G48" i="3"/>
  <c r="G68" i="3" s="1"/>
  <c r="R51" i="3"/>
  <c r="R71" i="3" s="1"/>
  <c r="S50" i="3"/>
  <c r="S70" i="3" s="1"/>
  <c r="M46" i="3"/>
  <c r="M66" i="3" s="1"/>
  <c r="G46" i="3"/>
  <c r="G66" i="3" s="1"/>
  <c r="T48" i="3"/>
  <c r="T68" i="3" s="1"/>
  <c r="N51" i="3"/>
  <c r="N71" i="3" s="1"/>
  <c r="F50" i="3"/>
  <c r="F70" i="3" s="1"/>
  <c r="K48" i="3"/>
  <c r="K68" i="3" s="1"/>
  <c r="M49" i="3"/>
  <c r="M69" i="3" s="1"/>
  <c r="F51" i="3"/>
  <c r="F71" i="3" s="1"/>
  <c r="L48" i="3"/>
  <c r="L68" i="3" s="1"/>
  <c r="M47" i="3"/>
  <c r="M67" i="3" s="1"/>
  <c r="O51" i="3"/>
  <c r="O71" i="3" s="1"/>
  <c r="L46" i="3"/>
  <c r="L66" i="3" s="1"/>
  <c r="N47" i="3"/>
  <c r="N67" i="3" s="1"/>
  <c r="I51" i="3"/>
  <c r="I71" i="3" s="1"/>
  <c r="I49" i="3"/>
  <c r="I69" i="3" s="1"/>
  <c r="H48" i="3"/>
  <c r="H68" i="3" s="1"/>
  <c r="H49" i="3"/>
  <c r="H69" i="3" s="1"/>
  <c r="J49" i="3"/>
  <c r="J69" i="3" s="1"/>
  <c r="N46" i="3"/>
  <c r="N66" i="3" s="1"/>
  <c r="G49" i="3"/>
  <c r="G69" i="3" s="1"/>
  <c r="R49" i="3"/>
  <c r="R69" i="3" s="1"/>
  <c r="N49" i="3"/>
  <c r="N69" i="3" s="1"/>
  <c r="P46" i="3"/>
  <c r="P66" i="3" s="1"/>
  <c r="T46" i="3"/>
  <c r="T66" i="3" s="1"/>
  <c r="L51" i="3"/>
  <c r="L71" i="3" s="1"/>
  <c r="J46" i="3"/>
  <c r="J66" i="3" s="1"/>
  <c r="T51" i="3"/>
  <c r="T71" i="3" s="1"/>
  <c r="I46" i="3"/>
  <c r="I66" i="3" s="1"/>
  <c r="H51" i="3"/>
  <c r="H71" i="3" s="1"/>
  <c r="I50" i="3"/>
  <c r="I70" i="3" s="1"/>
  <c r="S48" i="3"/>
  <c r="S68" i="3" s="1"/>
  <c r="H50" i="3"/>
  <c r="H70" i="3" s="1"/>
  <c r="M48" i="3"/>
  <c r="M68" i="3" s="1"/>
  <c r="S47" i="3"/>
  <c r="S67" i="3" s="1"/>
  <c r="S46" i="3"/>
  <c r="S66" i="3" s="1"/>
  <c r="R46" i="3"/>
  <c r="R66" i="3" s="1"/>
  <c r="O48" i="3"/>
  <c r="O68" i="3" s="1"/>
  <c r="O46" i="3"/>
  <c r="O66" i="3" s="1"/>
  <c r="F49" i="3"/>
  <c r="F69" i="3" s="1"/>
  <c r="T47" i="3"/>
  <c r="T67" i="3" s="1"/>
  <c r="K46" i="3"/>
  <c r="K66" i="3" s="1"/>
  <c r="N50" i="3"/>
  <c r="N70" i="3" s="1"/>
  <c r="L50" i="3"/>
  <c r="L70" i="3" s="1"/>
  <c r="M50" i="3"/>
  <c r="M70" i="3" s="1"/>
  <c r="S51" i="3"/>
  <c r="S71" i="3" s="1"/>
  <c r="P47" i="3"/>
  <c r="P67" i="3" s="1"/>
  <c r="H47" i="3"/>
  <c r="H67" i="3" s="1"/>
  <c r="R48" i="3"/>
  <c r="R68" i="3" s="1"/>
  <c r="J51" i="3"/>
  <c r="J71" i="3" s="1"/>
  <c r="P50" i="3"/>
  <c r="P70" i="3" s="1"/>
  <c r="P51" i="3"/>
  <c r="P71" i="3" s="1"/>
  <c r="P49" i="3"/>
  <c r="P69" i="3" s="1"/>
  <c r="T49" i="3"/>
  <c r="T69" i="3" s="1"/>
  <c r="J48" i="3"/>
  <c r="J68" i="3" s="1"/>
  <c r="R47" i="3"/>
  <c r="R67" i="3" s="1"/>
  <c r="J47" i="3"/>
  <c r="J67" i="3" s="1"/>
  <c r="F48" i="3"/>
  <c r="F68" i="3" s="1"/>
  <c r="K49" i="3"/>
  <c r="K69" i="3" s="1"/>
  <c r="K50" i="3"/>
  <c r="K70" i="3" s="1"/>
  <c r="Q44" i="3"/>
  <c r="Q50" i="3" s="1"/>
  <c r="Q70" i="3" s="1"/>
  <c r="AD66" i="3" l="1"/>
  <c r="AD70" i="3"/>
  <c r="AD67" i="3"/>
  <c r="AD69" i="3"/>
  <c r="AD68" i="3"/>
  <c r="AD71" i="3"/>
  <c r="AD48" i="3"/>
  <c r="AD47" i="3"/>
  <c r="AD50" i="3"/>
  <c r="AD49" i="3"/>
  <c r="AD46" i="3"/>
  <c r="AD51" i="3"/>
  <c r="Q49" i="3"/>
  <c r="Q69" i="3" s="1"/>
  <c r="Q47" i="3"/>
  <c r="Q67" i="3" s="1"/>
  <c r="Q51" i="3"/>
  <c r="Q71" i="3" s="1"/>
  <c r="Q46" i="3"/>
  <c r="Q66" i="3" s="1"/>
  <c r="Q48" i="3"/>
  <c r="Q68" i="3" s="1"/>
  <c r="BI66" i="3" l="1"/>
  <c r="BI71" i="3"/>
  <c r="BI67" i="3"/>
  <c r="BI70" i="3"/>
  <c r="BI68" i="3"/>
  <c r="BI69" i="3"/>
  <c r="BJ71" i="3" l="1"/>
  <c r="BJ66" i="3"/>
  <c r="BJ69" i="3"/>
  <c r="BJ67" i="3"/>
  <c r="BJ68" i="3"/>
  <c r="BJ70" i="3"/>
  <c r="BK70" i="3" l="1"/>
  <c r="BK71" i="3"/>
  <c r="BK69" i="3"/>
  <c r="BK66" i="3"/>
  <c r="BK68" i="3"/>
  <c r="BK67" i="3"/>
  <c r="BL71" i="3" l="1"/>
  <c r="BL67" i="3"/>
  <c r="BL69" i="3"/>
  <c r="BL66" i="3"/>
  <c r="BL70" i="3"/>
  <c r="BL68" i="3"/>
  <c r="BM66" i="3"/>
  <c r="BM67" i="3"/>
  <c r="BM70" i="3"/>
  <c r="BM69" i="3"/>
  <c r="BM68" i="3"/>
  <c r="BM71" i="3"/>
  <c r="BN71" i="3" l="1"/>
  <c r="BN67" i="3"/>
  <c r="BN70" i="3"/>
  <c r="BN69" i="3"/>
  <c r="BN66" i="3"/>
  <c r="BN68" i="3"/>
  <c r="BR66" i="3" l="1"/>
  <c r="BR71" i="3"/>
  <c r="BR67" i="3"/>
  <c r="BR70" i="3"/>
  <c r="BR69" i="3"/>
  <c r="BR68" i="3"/>
  <c r="BS70" i="3"/>
  <c r="BS71" i="3"/>
  <c r="BS69" i="3"/>
  <c r="BS67" i="3"/>
  <c r="BS66" i="3"/>
  <c r="BS68" i="3"/>
  <c r="BT70" i="3" l="1"/>
  <c r="BT67" i="3"/>
  <c r="BT69" i="3"/>
  <c r="BT66" i="3"/>
  <c r="BT71" i="3"/>
  <c r="BT68" i="3"/>
</calcChain>
</file>

<file path=xl/sharedStrings.xml><?xml version="1.0" encoding="utf-8"?>
<sst xmlns="http://schemas.openxmlformats.org/spreadsheetml/2006/main" count="198" uniqueCount="101">
  <si>
    <t>NUMERO CECOS</t>
  </si>
  <si>
    <t>CECOS</t>
  </si>
  <si>
    <t>AREAS</t>
  </si>
  <si>
    <t>SUB AREAS</t>
  </si>
  <si>
    <t>TOTAL-21</t>
  </si>
  <si>
    <t>TOTAL-22</t>
  </si>
  <si>
    <t>TOTAL-23</t>
  </si>
  <si>
    <t>TOTAL-24</t>
  </si>
  <si>
    <t>TOTAL-25</t>
  </si>
  <si>
    <t xml:space="preserve">G&amp;A </t>
  </si>
  <si>
    <t>CECOS SSGG</t>
  </si>
  <si>
    <t>CAMPAMENTO</t>
  </si>
  <si>
    <t>PIONERO CORE SHAKE</t>
  </si>
  <si>
    <t>VILLA COLABORADORES</t>
  </si>
  <si>
    <t>GARITA</t>
  </si>
  <si>
    <t>CECOS TI</t>
  </si>
  <si>
    <t>ANTENA</t>
  </si>
  <si>
    <t>MAIN OFFICIE</t>
  </si>
  <si>
    <t>CECOS LOGIST</t>
  </si>
  <si>
    <t>GRIFO PRIMAX</t>
  </si>
  <si>
    <t>MANTENIMIENTO</t>
  </si>
  <si>
    <t>CECOS MTTO</t>
  </si>
  <si>
    <t>TRUCK SHOP</t>
  </si>
  <si>
    <t>SS.AA S.E MINA JUSTA</t>
  </si>
  <si>
    <t>MINA</t>
  </si>
  <si>
    <t>CECOS MINA</t>
  </si>
  <si>
    <t>CANCHA NITRATOS</t>
  </si>
  <si>
    <t>CAMBIO DE GUARDIA</t>
  </si>
  <si>
    <t>PLANTA</t>
  </si>
  <si>
    <t xml:space="preserve"> SULFUROS</t>
  </si>
  <si>
    <t>CECOS PLANTA</t>
  </si>
  <si>
    <t>CHANCADO PRIMARIO</t>
  </si>
  <si>
    <t>CIRCUITO DE CHANCADO SECUNDARIO</t>
  </si>
  <si>
    <t>CIRCUITO DE CHANCADO TERCIARIO</t>
  </si>
  <si>
    <t>MOLIENDA PRIMARIA</t>
  </si>
  <si>
    <t>FLOTACIÓN</t>
  </si>
  <si>
    <t>REMOLIENDA</t>
  </si>
  <si>
    <t xml:space="preserve">                                          -  </t>
  </si>
  <si>
    <t>ESPESAMIENTO Y BOMBEO DE RELAVES</t>
  </si>
  <si>
    <t>INFRAESTRUCTURA</t>
  </si>
  <si>
    <t>CECOS PUERTO</t>
  </si>
  <si>
    <t>AGUA DE MAR</t>
  </si>
  <si>
    <t>ESTACIÓN DE BOMBEO DE AGUA DE MAR</t>
  </si>
  <si>
    <t>OXIDOS</t>
  </si>
  <si>
    <t>ZARANDEO Y CHANCADO SECUNDARIOS</t>
  </si>
  <si>
    <t>ZARANDEO Y CHANCADO TERCIARIOS</t>
  </si>
  <si>
    <t>PRODUCTO DE MINERAL FINO</t>
  </si>
  <si>
    <t>PRETATAMIENTO VATEAS Y POZAS</t>
  </si>
  <si>
    <t>DISPOSICIÓN DE RIPIOS</t>
  </si>
  <si>
    <t>ALIMENTADOR DE BATEAS</t>
  </si>
  <si>
    <t>VAT LEACHING</t>
  </si>
  <si>
    <t>CLARIFICACIÓN</t>
  </si>
  <si>
    <t>EXTRACCIÓN POR SOLVENTE</t>
  </si>
  <si>
    <t>ELECTRODEPOSICIÓN</t>
  </si>
  <si>
    <t>TOTAL (KWH)</t>
  </si>
  <si>
    <t>TONELADAS (TN)</t>
  </si>
  <si>
    <t>SULFUROS</t>
  </si>
  <si>
    <t>RATIOS (KWH/TN)</t>
  </si>
  <si>
    <t>FACTURACION TOTAL ($)</t>
  </si>
  <si>
    <t>G&amp;A</t>
  </si>
  <si>
    <t>REPORTE DE PALAS ELÉCTRICAS MINA</t>
  </si>
  <si>
    <t>REPORTE DE CONSUMO ENERGÍA SULFUROS</t>
  </si>
  <si>
    <t>REPORTE DE CONSUMO ENERGÍA INFRAESTRUCTURA</t>
  </si>
  <si>
    <t>Lec. Anterior</t>
  </si>
  <si>
    <t>Lec. Actual</t>
  </si>
  <si>
    <t>Var</t>
  </si>
  <si>
    <t>Ratio PB-25</t>
  </si>
  <si>
    <t>Ratio Real</t>
  </si>
  <si>
    <t>REPORTE DE PERFORADORAS ELÉCTRICAS MINA</t>
  </si>
  <si>
    <t>REPORTE DE CONSUMO ENERGÍA ÓXIDOS</t>
  </si>
  <si>
    <t>REPORTE REAL TONELDAS Y BOMBEO H2O - 2025</t>
  </si>
  <si>
    <t>Mes</t>
  </si>
  <si>
    <t>Mov Tn Pry</t>
  </si>
  <si>
    <t>Mov Tn Real</t>
  </si>
  <si>
    <t>Sul Pry</t>
  </si>
  <si>
    <t>Sul Real</t>
  </si>
  <si>
    <t>Oxi Pry</t>
  </si>
  <si>
    <t>Oxi Real</t>
  </si>
  <si>
    <t>H2O Pry</t>
  </si>
  <si>
    <t>H2O Real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</si>
  <si>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</si>
  <si>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</si>
  <si>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</si>
  <si>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</si>
  <si>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</si>
  <si>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</si>
  <si>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</si>
  <si>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</si>
  <si>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</si>
  <si>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</si>
  <si>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</si>
  <si>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</si>
  <si>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PALAS ELECTRICAS</t>
  </si>
  <si>
    <t>PERFORADORAS ELECTRICAS</t>
  </si>
  <si>
    <t>ESPESAMIENTO Y CARGA DE CONCENTRADO</t>
  </si>
  <si>
    <t>Mineral Movido</t>
  </si>
  <si>
    <t>Mineral tratado Óxidos</t>
  </si>
  <si>
    <t>Mineral tratado Sulfuros</t>
  </si>
  <si>
    <t>Agua de Mar Bombeada - MCB</t>
  </si>
  <si>
    <t>K tt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</si>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</sst>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&quot;S/.&quot;\ * #,##0_);_(&quot;S/.&quot;\ * \(#,##0\);_(&quot;S/.&quot;\ * &quot;-&quot;_);_(@_)"/>
    <numFmt numFmtId="166" formatCode="#\.00"/>
    <numFmt numFmtId="167" formatCode="_-* #,##0.00\ _€_-;\-* #,##0.00\ _€_-;_-* &quot;-&quot;??\ _€_-;_-@_-"/>
    <numFmt numFmtId="168" formatCode="_-* #,##0.00\ [$€]_-;\-* #,##0.00\ [$€]_-;_-* &quot;-&quot;??\ [$€]_-;_-@_-"/>
    <numFmt numFmtId="169" formatCode="_-* #,##0_-;\-* #,##0_-;_-* &quot;-&quot;??_-;_-@_-"/>
    <numFmt numFmtId="170" formatCode="0.0%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Arial MT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4.9989318521683403E-2"/>
      <name val="Aptos"/>
      <family val="2"/>
    </font>
    <font>
      <sz val="11"/>
      <color theme="1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8"/>
      <name val="Calibri"/>
      <family val="2"/>
      <scheme val="minor"/>
    </font>
    <font>
      <b/>
      <sz val="10"/>
      <color theme="0"/>
      <name val="Aptos"/>
      <family val="2"/>
    </font>
    <font>
      <u/>
      <sz val="10"/>
      <color theme="10"/>
      <name val="Arial"/>
      <family val="2"/>
    </font>
    <font>
      <b/>
      <sz val="9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14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166" fontId="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6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7" fillId="4" borderId="0" applyNumberFormat="0" applyBorder="0" applyAlignment="0" applyProtection="0"/>
    <xf numFmtId="0" fontId="8" fillId="6" borderId="3" applyNumberFormat="0" applyAlignment="0" applyProtection="0"/>
    <xf numFmtId="0" fontId="9" fillId="0" borderId="4" applyNumberFormat="0" applyFill="0" applyAlignment="0" applyProtection="0"/>
    <xf numFmtId="0" fontId="8" fillId="6" borderId="3" applyNumberFormat="0" applyAlignment="0" applyProtection="0"/>
    <xf numFmtId="167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5" borderId="2" applyNumberFormat="0" applyAlignment="0" applyProtection="0"/>
    <xf numFmtId="168" fontId="3" fillId="0" borderId="0" applyFont="0" applyFill="0" applyBorder="0" applyAlignment="0" applyProtection="0"/>
    <xf numFmtId="0" fontId="7" fillId="4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5" borderId="2" applyNumberFormat="0" applyAlignment="0" applyProtection="0"/>
    <xf numFmtId="0" fontId="9" fillId="0" borderId="4" applyNumberFormat="0" applyFill="0" applyAlignment="0" applyProtection="0"/>
    <xf numFmtId="0" fontId="12" fillId="7" borderId="0" applyNumberFormat="0" applyBorder="0" applyAlignment="0" applyProtection="0"/>
    <xf numFmtId="0" fontId="13" fillId="0" borderId="0"/>
    <xf numFmtId="0" fontId="3" fillId="8" borderId="5" applyNumberFormat="0" applyFont="0" applyAlignment="0" applyProtection="0"/>
    <xf numFmtId="0" fontId="3" fillId="8" borderId="5" applyNumberFormat="0" applyFont="0" applyAlignment="0" applyProtection="0"/>
    <xf numFmtId="40" fontId="16" fillId="9" borderId="0">
      <alignment horizontal="right"/>
    </xf>
    <xf numFmtId="0" fontId="17" fillId="9" borderId="0">
      <alignment horizontal="right"/>
    </xf>
    <xf numFmtId="0" fontId="18" fillId="9" borderId="1"/>
    <xf numFmtId="0" fontId="18" fillId="0" borderId="0" applyBorder="0">
      <alignment horizontal="centerContinuous"/>
    </xf>
    <xf numFmtId="0" fontId="19" fillId="0" borderId="0" applyBorder="0">
      <alignment horizontal="centerContinuous"/>
    </xf>
    <xf numFmtId="0" fontId="3" fillId="0" borderId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4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92">
    <xf numFmtId="0" fontId="0" fillId="0" borderId="0" xfId="0"/>
    <xf numFmtId="43" fontId="0" fillId="0" borderId="0" xfId="1" applyFont="1"/>
    <xf numFmtId="43" fontId="0" fillId="0" borderId="0" xfId="0" applyNumberFormat="1"/>
    <xf numFmtId="17" fontId="2" fillId="2" borderId="0" xfId="0" applyNumberFormat="1" applyFont="1" applyFill="1" applyAlignment="1">
      <alignment horizontal="center"/>
    </xf>
    <xf numFmtId="0" fontId="0" fillId="3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7" xfId="0" applyFont="1" applyFill="1" applyBorder="1" applyAlignment="1">
      <alignment horizontal="center"/>
    </xf>
    <xf numFmtId="0" fontId="21" fillId="0" borderId="0" xfId="0" applyFont="1" applyAlignment="1">
      <alignment horizontal="left"/>
    </xf>
    <xf numFmtId="0" fontId="22" fillId="10" borderId="0" xfId="0" applyFont="1" applyFill="1"/>
    <xf numFmtId="43" fontId="22" fillId="10" borderId="0" xfId="1" applyFont="1" applyFill="1" applyBorder="1"/>
    <xf numFmtId="43" fontId="22" fillId="0" borderId="7" xfId="1" applyFont="1" applyBorder="1"/>
    <xf numFmtId="43" fontId="2" fillId="3" borderId="7" xfId="0" applyNumberFormat="1" applyFont="1" applyFill="1" applyBorder="1" applyAlignment="1">
      <alignment horizontal="center"/>
    </xf>
    <xf numFmtId="43" fontId="2" fillId="0" borderId="7" xfId="1" applyFont="1" applyBorder="1"/>
    <xf numFmtId="43" fontId="2" fillId="0" borderId="8" xfId="1" applyFont="1" applyBorder="1"/>
    <xf numFmtId="43" fontId="2" fillId="0" borderId="9" xfId="1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43" fontId="2" fillId="11" borderId="7" xfId="0" applyNumberFormat="1" applyFont="1" applyFill="1" applyBorder="1" applyAlignment="1">
      <alignment horizontal="center"/>
    </xf>
    <xf numFmtId="43" fontId="22" fillId="11" borderId="0" xfId="1" applyFont="1" applyFill="1" applyBorder="1"/>
    <xf numFmtId="43" fontId="2" fillId="11" borderId="7" xfId="1" applyFont="1" applyFill="1" applyBorder="1"/>
    <xf numFmtId="43" fontId="22" fillId="11" borderId="7" xfId="1" applyFont="1" applyFill="1" applyBorder="1"/>
    <xf numFmtId="43" fontId="2" fillId="11" borderId="8" xfId="1" applyFont="1" applyFill="1" applyBorder="1"/>
    <xf numFmtId="43" fontId="2" fillId="11" borderId="9" xfId="1" applyFont="1" applyFill="1" applyBorder="1"/>
    <xf numFmtId="43" fontId="23" fillId="0" borderId="10" xfId="0" applyNumberFormat="1" applyFont="1" applyBorder="1"/>
    <xf numFmtId="0" fontId="23" fillId="12" borderId="0" xfId="0" applyFont="1" applyFill="1"/>
    <xf numFmtId="0" fontId="0" fillId="12" borderId="0" xfId="0" applyFill="1"/>
    <xf numFmtId="43" fontId="0" fillId="12" borderId="0" xfId="0" applyNumberFormat="1" applyFill="1"/>
    <xf numFmtId="43" fontId="23" fillId="12" borderId="11" xfId="1" applyFont="1" applyFill="1" applyBorder="1"/>
    <xf numFmtId="43" fontId="24" fillId="11" borderId="11" xfId="1" applyFont="1" applyFill="1" applyBorder="1"/>
    <xf numFmtId="0" fontId="0" fillId="11" borderId="0" xfId="0" applyFill="1"/>
    <xf numFmtId="17" fontId="25" fillId="13" borderId="0" xfId="0" applyNumberFormat="1" applyFont="1" applyFill="1" applyAlignment="1">
      <alignment horizontal="center"/>
    </xf>
    <xf numFmtId="0" fontId="26" fillId="14" borderId="11" xfId="0" applyFont="1" applyFill="1" applyBorder="1" applyAlignment="1">
      <alignment horizontal="center"/>
    </xf>
    <xf numFmtId="0" fontId="23" fillId="0" borderId="0" xfId="0" applyFont="1" applyAlignment="1">
      <alignment horizontal="right"/>
    </xf>
    <xf numFmtId="43" fontId="22" fillId="0" borderId="0" xfId="1" applyFont="1" applyBorder="1"/>
    <xf numFmtId="2" fontId="0" fillId="0" borderId="0" xfId="0" applyNumberFormat="1"/>
    <xf numFmtId="0" fontId="20" fillId="15" borderId="0" xfId="0" applyFont="1" applyFill="1" applyAlignment="1">
      <alignment horizontal="left" indent="1"/>
    </xf>
    <xf numFmtId="43" fontId="0" fillId="15" borderId="0" xfId="1" applyFont="1" applyFill="1"/>
    <xf numFmtId="43" fontId="21" fillId="0" borderId="0" xfId="1" applyFont="1" applyBorder="1" applyAlignment="1">
      <alignment horizontal="left"/>
    </xf>
    <xf numFmtId="43" fontId="21" fillId="0" borderId="0" xfId="0" applyNumberFormat="1" applyFont="1" applyAlignment="1">
      <alignment horizontal="left"/>
    </xf>
    <xf numFmtId="43" fontId="2" fillId="0" borderId="0" xfId="1" applyFont="1" applyBorder="1"/>
    <xf numFmtId="43" fontId="2" fillId="11" borderId="0" xfId="1" applyFont="1" applyFill="1" applyBorder="1"/>
    <xf numFmtId="0" fontId="2" fillId="0" borderId="0" xfId="0" applyFont="1" applyAlignment="1">
      <alignment horizontal="center"/>
    </xf>
    <xf numFmtId="0" fontId="0" fillId="16" borderId="0" xfId="0" applyFill="1"/>
    <xf numFmtId="43" fontId="0" fillId="16" borderId="0" xfId="0" applyNumberFormat="1" applyFill="1"/>
    <xf numFmtId="43" fontId="0" fillId="16" borderId="0" xfId="1" applyFont="1" applyFill="1"/>
    <xf numFmtId="169" fontId="22" fillId="10" borderId="0" xfId="1" applyNumberFormat="1" applyFont="1" applyFill="1" applyBorder="1"/>
    <xf numFmtId="4" fontId="0" fillId="15" borderId="0" xfId="1" applyNumberFormat="1" applyFont="1" applyFill="1"/>
    <xf numFmtId="41" fontId="0" fillId="15" borderId="0" xfId="1" applyNumberFormat="1" applyFont="1" applyFill="1"/>
    <xf numFmtId="0" fontId="28" fillId="0" borderId="0" xfId="0" applyFont="1"/>
    <xf numFmtId="3" fontId="28" fillId="0" borderId="0" xfId="0" applyNumberFormat="1" applyFont="1"/>
    <xf numFmtId="170" fontId="28" fillId="0" borderId="0" xfId="90" applyNumberFormat="1" applyFont="1"/>
    <xf numFmtId="0" fontId="28" fillId="17" borderId="0" xfId="0" applyFont="1" applyFill="1"/>
    <xf numFmtId="0" fontId="21" fillId="0" borderId="0" xfId="0" applyFont="1"/>
    <xf numFmtId="0" fontId="21" fillId="12" borderId="0" xfId="0" applyFont="1" applyFill="1" applyAlignment="1">
      <alignment horizontal="left" indent="1"/>
    </xf>
    <xf numFmtId="43" fontId="21" fillId="12" borderId="0" xfId="0" applyNumberFormat="1" applyFont="1" applyFill="1"/>
    <xf numFmtId="43" fontId="21" fillId="11" borderId="0" xfId="0" applyNumberFormat="1" applyFont="1" applyFill="1"/>
    <xf numFmtId="41" fontId="21" fillId="12" borderId="0" xfId="0" applyNumberFormat="1" applyFont="1" applyFill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41" fontId="24" fillId="14" borderId="11" xfId="1" applyNumberFormat="1" applyFont="1" applyFill="1" applyBorder="1"/>
    <xf numFmtId="4" fontId="28" fillId="0" borderId="0" xfId="0" applyNumberFormat="1" applyFont="1"/>
    <xf numFmtId="0" fontId="23" fillId="18" borderId="0" xfId="0" applyFont="1" applyFill="1"/>
    <xf numFmtId="0" fontId="0" fillId="18" borderId="0" xfId="0" applyFill="1"/>
    <xf numFmtId="43" fontId="0" fillId="18" borderId="0" xfId="0" applyNumberFormat="1" applyFill="1"/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170" fontId="29" fillId="0" borderId="0" xfId="9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0" fontId="32" fillId="13" borderId="0" xfId="0" applyFont="1" applyFill="1" applyAlignment="1">
      <alignment horizontal="center" vertical="center"/>
    </xf>
    <xf numFmtId="3" fontId="29" fillId="19" borderId="0" xfId="0" applyNumberFormat="1" applyFont="1" applyFill="1" applyAlignment="1">
      <alignment horizontal="right" vertical="center"/>
    </xf>
    <xf numFmtId="0" fontId="29" fillId="19" borderId="0" xfId="0" applyFont="1" applyFill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3" fontId="30" fillId="19" borderId="0" xfId="0" applyNumberFormat="1" applyFont="1" applyFill="1" applyAlignment="1">
      <alignment horizontal="right" vertical="center"/>
    </xf>
    <xf numFmtId="10" fontId="28" fillId="0" borderId="0" xfId="90" applyNumberFormat="1" applyFont="1"/>
    <xf numFmtId="0" fontId="27" fillId="17" borderId="0" xfId="0" applyFont="1" applyFill="1" applyAlignment="1">
      <alignment horizontal="center" vertical="center"/>
    </xf>
    <xf numFmtId="0" fontId="0" fillId="3" borderId="0" xfId="0" applyFont="1" applyFill="1"/>
    <xf numFmtId="0" fontId="20" fillId="0" borderId="0" xfId="0" applyFont="1"/>
    <xf numFmtId="0" fontId="20" fillId="10" borderId="0" xfId="0" applyFont="1" applyFill="1"/>
    <xf numFmtId="0" fontId="0" fillId="0" borderId="0" xfId="0" applyFont="1"/>
    <xf numFmtId="43" fontId="0" fillId="0" borderId="0" xfId="0" applyNumberFormat="1" applyFont="1"/>
    <xf numFmtId="43" fontId="21" fillId="0" borderId="0" xfId="1" applyFont="1" applyBorder="1"/>
    <xf numFmtId="0" fontId="20" fillId="0" borderId="0" xfId="0" applyFont="1" applyAlignment="1">
      <alignment horizontal="left"/>
    </xf>
    <xf numFmtId="43" fontId="20" fillId="0" borderId="0" xfId="1" applyFont="1" applyBorder="1" applyAlignment="1">
      <alignment horizontal="left"/>
    </xf>
    <xf numFmtId="0" fontId="34" fillId="10" borderId="0" xfId="0" applyFont="1" applyFill="1"/>
    <xf numFmtId="0" fontId="0" fillId="0" borderId="0" xfId="0" applyFont="1" applyAlignment="1">
      <alignment horizontal="left"/>
    </xf>
    <xf numFmtId="0" fontId="2" fillId="0" borderId="10" xfId="0" applyFont="1" applyBorder="1" applyAlignment="1">
      <alignment horizontal="right"/>
    </xf>
    <xf numFmtId="0" fontId="20" fillId="15" borderId="0" xfId="0" applyFont="1" applyFill="1" applyAlignment="1">
      <alignment horizontal="center"/>
    </xf>
    <xf numFmtId="0" fontId="0" fillId="15" borderId="0" xfId="0" applyFont="1" applyFill="1" applyAlignment="1">
      <alignment horizontal="center"/>
    </xf>
  </cellXfs>
  <cellStyles count="142">
    <cellStyle name="A3 297 x 420 mm" xfId="45" xr:uid="{7D38A0B0-58F7-4264-B3F5-7F4D59E17B9A}"/>
    <cellStyle name="Buena" xfId="60" xr:uid="{13C9D957-BAB8-4323-8B6C-EC24CC1BDA92}"/>
    <cellStyle name="Celda de comprobación 2" xfId="61" xr:uid="{F5035C60-CD53-46E0-9A65-9CABD5CEEAA5}"/>
    <cellStyle name="Celda vinculada 2" xfId="62" xr:uid="{43A7554F-DF49-4E35-960A-44F55D02AEBF}"/>
    <cellStyle name="Check Cell 2" xfId="63" xr:uid="{D2CA35FD-C61F-496E-9622-0515B5277392}"/>
    <cellStyle name="Comma 13" xfId="35" xr:uid="{1DDEBF6E-D506-4163-8C02-3AEF6552F4C3}"/>
    <cellStyle name="Comma 13 2" xfId="56" xr:uid="{BB6A8863-A974-4F12-9A79-424436134C03}"/>
    <cellStyle name="Comma 13 2 2" xfId="89" xr:uid="{9FF49FC0-A859-4CA2-81AC-FBD6FE0DF62A}"/>
    <cellStyle name="Comma 13 2 2 2" xfId="132" xr:uid="{9EA286A6-D9B3-4D6A-A1FA-CF9D7FB4D82F}"/>
    <cellStyle name="Comma 13 2 2 2 2" xfId="96" xr:uid="{14CE3994-2864-43B2-8E6C-17A224E10A0A}"/>
    <cellStyle name="Comma 13 2 2 3" xfId="116" xr:uid="{6B147138-7E2C-4A99-A7C4-F30107CDE711}"/>
    <cellStyle name="Comma 13 2 3" xfId="126" xr:uid="{5BAFF28D-42D2-4E49-9188-D656C1E4F629}"/>
    <cellStyle name="Comma 13 2 3 2" xfId="107" xr:uid="{7FB6A323-84ED-42E8-B28C-974E581DF8D0}"/>
    <cellStyle name="Comma 13 2 4" xfId="106" xr:uid="{227CF8A6-0121-4EE0-A46A-95F7D26486DD}"/>
    <cellStyle name="Comma 13 3" xfId="88" xr:uid="{82175CCC-EF86-4824-83B5-A1951AA2377F}"/>
    <cellStyle name="Comma 13 3 2" xfId="131" xr:uid="{BE7C26E5-8A00-41CC-9559-F4EFCDEFF6E6}"/>
    <cellStyle name="Comma 13 3 2 2" xfId="141" xr:uid="{BC251FD1-85C2-47E1-9094-44810DF2AB3E}"/>
    <cellStyle name="Comma 13 3 3" xfId="115" xr:uid="{622004BC-DEC8-418F-848A-FCFC1F4C33BC}"/>
    <cellStyle name="Comma 13 4" xfId="122" xr:uid="{530FB56C-21B1-4266-AF66-7725D002AC54}"/>
    <cellStyle name="Comma 13 4 2" xfId="133" xr:uid="{8941216A-E176-4C6D-B5DB-0D552DC5B893}"/>
    <cellStyle name="Comma 13 5" xfId="100" xr:uid="{E94F191F-5009-4186-89BF-E562410E862F}"/>
    <cellStyle name="Comma 16" xfId="30" xr:uid="{C919715A-CA37-4950-95B1-64AB7BA31F05}"/>
    <cellStyle name="Comma 16 2" xfId="33" xr:uid="{0941FA4D-A858-485C-93DA-95F7D6787C98}"/>
    <cellStyle name="Comma 16 3" xfId="54" xr:uid="{E89DA641-2BDF-4D77-910A-66DD51AC28F5}"/>
    <cellStyle name="Comma 16 3 2" xfId="124" xr:uid="{7ECFC7CB-D544-4DA0-904E-83B45D90CB93}"/>
    <cellStyle name="Comma 16 3 2 2" xfId="101" xr:uid="{03EBDD62-D2F8-466F-93C9-0AF9B0CD6D83}"/>
    <cellStyle name="Comma 16 3 3" xfId="104" xr:uid="{4C6AFA7D-9AF1-4587-9E87-8F75326BC84E}"/>
    <cellStyle name="Comma 16 4" xfId="86" xr:uid="{C93CD3A0-218D-4084-B39B-17A9D77BD236}"/>
    <cellStyle name="Comma 16 4 2" xfId="129" xr:uid="{CB9F4A3E-0BB3-44EC-A0C4-3C98DD0B4924}"/>
    <cellStyle name="Comma 16 4 2 2" xfId="135" xr:uid="{8EE1357C-A905-4B28-B6A0-867459B3FA68}"/>
    <cellStyle name="Comma 16 4 3" xfId="113" xr:uid="{663BAFBC-C601-4964-965A-986EDA54A613}"/>
    <cellStyle name="Comma 16 5" xfId="120" xr:uid="{6234AF9C-F5D1-4F82-8B8E-B444F1589C06}"/>
    <cellStyle name="Comma 16 5 2" xfId="134" xr:uid="{B769E48D-AAAB-43AA-810A-309E904C1F31}"/>
    <cellStyle name="Comma 16 6" xfId="97" xr:uid="{1C629ABA-2F5B-4E82-819E-99B9D69A2B10}"/>
    <cellStyle name="Comma 17" xfId="36" xr:uid="{4827A3F4-D08D-45AA-917B-F8E382BE0BB5}"/>
    <cellStyle name="Comma 18" xfId="37" xr:uid="{0A8F7AED-23CF-44F6-A055-68CB56461E39}"/>
    <cellStyle name="Comma 2" xfId="7" xr:uid="{B80F12F9-C82D-4050-BF3F-E8961B196330}"/>
    <cellStyle name="Comma 2 2" xfId="8" xr:uid="{7032EBDB-538F-4EDD-BF98-BEAAC1B7CA68}"/>
    <cellStyle name="Comma 2 2 2" xfId="48" xr:uid="{1519436B-3893-4C12-ADD7-C4BB2FAF6F2C}"/>
    <cellStyle name="Comma 2 3" xfId="9" xr:uid="{A3C7DCA6-9F3B-44AA-8D22-BE23C3EB40F4}"/>
    <cellStyle name="Comma 2 3 2" xfId="49" xr:uid="{BC506C7D-C09F-48AD-907D-D972549BE3D7}"/>
    <cellStyle name="Comma 2 4" xfId="32" xr:uid="{96CE24EA-1205-43C5-8E20-665EB8AF753D}"/>
    <cellStyle name="Comma 2 4 2" xfId="55" xr:uid="{83838CF7-698B-4965-829B-AB85F74F27C2}"/>
    <cellStyle name="Comma 2 4 2 2" xfId="125" xr:uid="{68F3D07E-7060-40B4-A88F-C86F00FF5B16}"/>
    <cellStyle name="Comma 2 4 2 2 2" xfId="138" xr:uid="{779AFE76-5E99-4C2B-AE00-512AB33E953A}"/>
    <cellStyle name="Comma 2 4 2 3" xfId="105" xr:uid="{A627FC69-9383-4833-BA26-C5604DBDAE62}"/>
    <cellStyle name="Comma 2 4 3" xfId="87" xr:uid="{0F770502-C283-4228-BB6D-E6571DE90E91}"/>
    <cellStyle name="Comma 2 4 3 2" xfId="130" xr:uid="{7580DB9D-881F-464A-B27B-1772A52DC202}"/>
    <cellStyle name="Comma 2 4 3 2 2" xfId="103" xr:uid="{55A2FD66-2AE7-42D9-982A-05247E33C961}"/>
    <cellStyle name="Comma 2 4 3 3" xfId="114" xr:uid="{60E0A1F4-31B2-4A74-9DCB-437AB0DABF86}"/>
    <cellStyle name="Comma 2 4 4" xfId="121" xr:uid="{CE199025-2861-4A22-A2F4-F828809F00F5}"/>
    <cellStyle name="Comma 2 4 4 2" xfId="137" xr:uid="{B749DDBA-BB40-4942-859B-3F67B66D6DDA}"/>
    <cellStyle name="Comma 2 4 5" xfId="99" xr:uid="{2876F8EB-CF22-4001-B3D5-AFC5B08D6AB1}"/>
    <cellStyle name="Comma 2 5" xfId="47" xr:uid="{FB77054A-6216-4AED-A31E-A3EDF0AB9460}"/>
    <cellStyle name="Comma 3" xfId="10" xr:uid="{C80C43B8-94C1-46FE-8363-A6543651FB6D}"/>
    <cellStyle name="Comma 3 2" xfId="50" xr:uid="{C8B701BC-A371-45DB-A3DB-739EC115E660}"/>
    <cellStyle name="Comma 4" xfId="59" xr:uid="{AD825FF4-91AD-44BC-8178-CE08522761DE}"/>
    <cellStyle name="Comma 4 2" xfId="127" xr:uid="{AB0DEEBC-989D-4BF3-93C6-7FDEEA9F3B5F}"/>
    <cellStyle name="Comma 4 2 2" xfId="140" xr:uid="{D85DF651-D5CE-4A71-9622-621CBF07461D}"/>
    <cellStyle name="Comma 4 3" xfId="108" xr:uid="{F47C0EE4-C7EB-4817-8A97-5F660B90E2E0}"/>
    <cellStyle name="Comma 5" xfId="46" xr:uid="{B91367E4-B9CF-4440-9DC6-0CC26AE8BBF0}"/>
    <cellStyle name="Comma 5 2" xfId="123" xr:uid="{6FEB1D79-A81D-4C17-AFD4-FCDC91A225CD}"/>
    <cellStyle name="Comma 5 2 2" xfId="111" xr:uid="{D2BD99B8-912D-4BCD-AA50-F90344C23AFD}"/>
    <cellStyle name="Comma 5 3" xfId="102" xr:uid="{BD6F2BB5-777D-477A-96C0-B4D906BD4B44}"/>
    <cellStyle name="Comma 6" xfId="64" xr:uid="{51EB4FBA-16AE-442A-AF30-93519741E658}"/>
    <cellStyle name="Comma 7" xfId="85" xr:uid="{85911D00-C4E3-40AD-9AAD-CAA96A270BF3}"/>
    <cellStyle name="Comma 7 2" xfId="128" xr:uid="{E020EC89-8D97-4484-8096-F19618F02FC3}"/>
    <cellStyle name="Comma 7 2 2" xfId="109" xr:uid="{2664BB23-593C-44BC-A200-70DEFB92687B}"/>
    <cellStyle name="Comma 7 3" xfId="112" xr:uid="{6828B5CD-044E-499F-80C6-14C6BD96CDA5}"/>
    <cellStyle name="Comma 8" xfId="136" xr:uid="{33898607-A80C-4DA5-9243-7E83EA5E785E}"/>
    <cellStyle name="Date" xfId="11" xr:uid="{21D1D0B0-1EA1-4776-8F69-EBC482860932}"/>
    <cellStyle name="Encabezado 4 2" xfId="65" xr:uid="{B4F4C5BA-513A-49D1-998C-08E563E76B09}"/>
    <cellStyle name="Entrada 2" xfId="66" xr:uid="{9D3CD2D7-AEDC-4E02-9089-C8C915C146F3}"/>
    <cellStyle name="Euro" xfId="67" xr:uid="{8288EBCF-C69B-4EED-BE8B-8878A37C4287}"/>
    <cellStyle name="F2" xfId="12" xr:uid="{6D9BAE11-A13A-400C-B85D-47FDD89A4099}"/>
    <cellStyle name="F3" xfId="13" xr:uid="{D2E837C1-7616-4713-9482-E81209C50CB3}"/>
    <cellStyle name="F4" xfId="14" xr:uid="{9475DD3D-20BE-4232-BBF7-76B0FCE059B9}"/>
    <cellStyle name="F5" xfId="15" xr:uid="{F40FDF75-4779-4F07-B37B-8749C15C207F}"/>
    <cellStyle name="F6" xfId="16" xr:uid="{E933CF45-42DD-4AEF-BE2F-630B29F6A0AE}"/>
    <cellStyle name="F7" xfId="17" xr:uid="{7C3578F2-FB97-4761-AEE4-7EA11323A34D}"/>
    <cellStyle name="F8" xfId="18" xr:uid="{39030D70-60AB-4B8A-B235-92AE23B5F025}"/>
    <cellStyle name="Fixed" xfId="19" xr:uid="{CA10F2E6-044C-49A8-BF87-D6764FB4BA20}"/>
    <cellStyle name="Good 2" xfId="68" xr:uid="{749D1A43-DD2D-4615-8DAC-872A630AF957}"/>
    <cellStyle name="Heading 4 2" xfId="69" xr:uid="{B4EE82F8-FC2C-4C0F-920D-C252426DD9AA}"/>
    <cellStyle name="Heading1" xfId="20" xr:uid="{08E04ECD-5049-467E-8792-F7CE0085D6DF}"/>
    <cellStyle name="Heading2" xfId="21" xr:uid="{EBBD1E6B-C273-45F2-B2A9-6BA73AE9BB9B}"/>
    <cellStyle name="Hipervínculo 2" xfId="98" xr:uid="{D5115BA5-335B-4775-8C87-20D2A5B28F90}"/>
    <cellStyle name="Input 2" xfId="70" xr:uid="{598B9E3B-16A2-4C5F-8F79-C9234FBC17D4}"/>
    <cellStyle name="Linked Cell 2" xfId="71" xr:uid="{6E250A1B-903E-4BEC-A4BA-0D3A741EFEBB}"/>
    <cellStyle name="Millares" xfId="1" builtinId="3"/>
    <cellStyle name="Millares 2" xfId="2" xr:uid="{561A7161-7246-4AF1-9098-1FEFE30D957E}"/>
    <cellStyle name="Millares 2 2" xfId="4" xr:uid="{3A8E9449-AD4C-466C-8E07-070870808CE0}"/>
    <cellStyle name="Millares 2 2 2" xfId="118" xr:uid="{66DB4680-4573-46F4-914E-3C79F19CCB53}"/>
    <cellStyle name="Millares 2 3" xfId="93" xr:uid="{0784CB61-F192-4E75-B038-AD64AE2A0395}"/>
    <cellStyle name="Millares 3" xfId="6" xr:uid="{BD937B25-1076-4A20-837C-C51BEDD1A2D8}"/>
    <cellStyle name="Millares 3 2" xfId="119" xr:uid="{E48C88D6-758C-4C1C-92F4-C83ABEF28560}"/>
    <cellStyle name="Millares 3 3" xfId="94" xr:uid="{AE31DF91-7718-42CA-8614-8839B7F62C77}"/>
    <cellStyle name="Millares 4" xfId="3" xr:uid="{DA457084-30BA-4CC0-953C-39A1EFA6330D}"/>
    <cellStyle name="Millares 4 2" xfId="92" xr:uid="{21644F7D-CC4A-4F6C-9792-693780E63FC1}"/>
    <cellStyle name="Millares 5" xfId="117" xr:uid="{9FA95C85-618F-4905-8918-94688C5DEBA6}"/>
    <cellStyle name="Millares 6" xfId="91" xr:uid="{48DB4177-EFD7-4806-B32C-048A89F8523A}"/>
    <cellStyle name="Neutral 2" xfId="72" xr:uid="{D0257F8D-30C6-4545-968A-F74953FF92FF}"/>
    <cellStyle name="No-definido" xfId="73" xr:uid="{0F8D6031-3AED-400B-B94D-A3241651921E}"/>
    <cellStyle name="Normal" xfId="0" builtinId="0"/>
    <cellStyle name="Normal 10 2" xfId="34" xr:uid="{4B362F45-44BE-4661-A1D9-B7749A1E103F}"/>
    <cellStyle name="Normal 14" xfId="40" xr:uid="{D137B491-18EB-4715-88D9-777B87F677FA}"/>
    <cellStyle name="Normal 14 2" xfId="29" xr:uid="{6438FDD1-29EC-42E4-B8BB-4DF3126EB5D5}"/>
    <cellStyle name="Normal 15" xfId="41" xr:uid="{A7AEA3BB-7A47-4A10-BBE0-3494BBFCFA9C}"/>
    <cellStyle name="Normal 2" xfId="22" xr:uid="{F353E36F-E256-4CE7-A869-A73A312A3D77}"/>
    <cellStyle name="Normal 2 2" xfId="23" xr:uid="{97696BBF-1221-4419-93FF-321C0DDCB0BF}"/>
    <cellStyle name="Normal 2 2 2" xfId="28" xr:uid="{7D04E1E7-9C9F-4162-9DAF-C37181239DDF}"/>
    <cellStyle name="Normal 2 3" xfId="43" xr:uid="{F7857EAF-9BC6-4465-9DF3-B0E4AC3AF099}"/>
    <cellStyle name="Normal 3" xfId="24" xr:uid="{0F723D0F-106C-487F-85B0-D91F74C0ED76}"/>
    <cellStyle name="Normal 3 2" xfId="51" xr:uid="{992097FF-4014-4A28-B518-38702E20A064}"/>
    <cellStyle name="Normal 4" xfId="38" xr:uid="{19CD2718-DB06-4F5D-8B4D-1185952B6E69}"/>
    <cellStyle name="Normal 5" xfId="44" xr:uid="{B38663A0-C707-4908-992B-5409072C4D2C}"/>
    <cellStyle name="Normal 5 2" xfId="57" xr:uid="{45C6CD5C-CCD7-4B10-A326-38CAFB796024}"/>
    <cellStyle name="Normal 5 2 2" xfId="139" xr:uid="{0353E7D3-CB45-4DDC-A33C-00D61A9EC18A}"/>
    <cellStyle name="Normal 5 3" xfId="95" xr:uid="{5D4469F9-2BB7-4040-8D9B-BFE79C3E2438}"/>
    <cellStyle name="Normal 6" xfId="58" xr:uid="{03FE25DB-7040-4F89-A754-06CB87D35DBF}"/>
    <cellStyle name="Normal 6 2" xfId="110" xr:uid="{286013C2-27E8-47CC-9D41-9BB66C183055}"/>
    <cellStyle name="Normal 7" xfId="5" xr:uid="{54991870-3F77-409A-BBFF-5F2ABFDD75A2}"/>
    <cellStyle name="Notas 2" xfId="74" xr:uid="{5D760B0F-1153-4A29-8FAF-4111E5B23FAC}"/>
    <cellStyle name="Note 2" xfId="75" xr:uid="{4A3DB2A4-196E-46AD-BE55-50BA360DE373}"/>
    <cellStyle name="Output Amounts" xfId="76" xr:uid="{14C922F1-E739-4D9C-B94A-7844E19FD9BC}"/>
    <cellStyle name="Output Column Headings" xfId="77" xr:uid="{76030CF9-012B-442A-8170-7D25D0A2924F}"/>
    <cellStyle name="Output Line Items" xfId="78" xr:uid="{1A14B628-6A41-4D1A-B77D-359E80F5E6F6}"/>
    <cellStyle name="Output Report Heading" xfId="79" xr:uid="{ED6AD913-D652-48A4-B42A-630109B44EB7}"/>
    <cellStyle name="Output Report Title" xfId="80" xr:uid="{4055B14B-BD2F-4588-9D65-A74352D02C15}"/>
    <cellStyle name="Percent 10" xfId="39" xr:uid="{1E368DC0-FDA0-4F94-9722-EBB8E4844D72}"/>
    <cellStyle name="Percent 13" xfId="42" xr:uid="{60C5AE76-A2FD-4CF7-8635-B24C606BD557}"/>
    <cellStyle name="Percent 13 2" xfId="31" xr:uid="{4B05DAFB-4D0A-4DF8-83A9-34F57277E913}"/>
    <cellStyle name="Percent 2" xfId="26" xr:uid="{169E9B8B-2DFD-4828-B0D5-5543197564CB}"/>
    <cellStyle name="Percent 2 2" xfId="52" xr:uid="{90641C8B-8760-4799-8213-F94078AA036B}"/>
    <cellStyle name="Percent 3" xfId="27" xr:uid="{91038265-0C03-4056-857B-A8186A4F2B31}"/>
    <cellStyle name="Percent 3 2" xfId="53" xr:uid="{3D2F4290-8B0B-4791-A9DC-248EFD4DFFC7}"/>
    <cellStyle name="Porcentaje" xfId="90" builtinId="5"/>
    <cellStyle name="Porcentaje 2" xfId="25" xr:uid="{5B7A9E2B-11C5-4C5A-A3BE-05E0A62FA65A}"/>
    <cellStyle name="Style 1" xfId="81" xr:uid="{55DDA229-7810-4CEC-924D-E509C2741195}"/>
    <cellStyle name="Texto de advertencia 2" xfId="82" xr:uid="{DC4796FD-5985-4A06-A61E-11FA4869BA3E}"/>
    <cellStyle name="Total 2" xfId="83" xr:uid="{CBBBA151-BFC9-484A-8582-2379D664A811}"/>
    <cellStyle name="Warning Text 2" xfId="84" xr:uid="{D40EA982-818E-4E30-8C92-E38E7DFD87A6}"/>
  </cellStyles>
  <dxfs count="4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Consumo Energía de Palas Eléctricas (kWh)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Palas Eléctricas Mina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F0-4D38-9F9E-E171D19E028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1F0-4D38-9F9E-E171D19E028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F0-4D38-9F9E-E171D19E028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F0-4D38-9F9E-E171D19E028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F0-4D38-9F9E-E171D19E028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F0-4D38-9F9E-E171D19E028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F0-4D38-9F9E-E171D19E028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4B-4A15-9FC2-4E5ECE61A57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4B-4A15-9FC2-4E5ECE61A57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A7-4D14-9F4A-A18AA44DE21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9A-4079-B98E-03BCE9CEAB2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9A-4079-B98E-03BCE9CEAB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tx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FACTURA'!$E$1:$BN$1</c15:sqref>
                  </c15:fullRef>
                </c:ext>
              </c:extLst>
              <c:f>('DETALLE ENERGIA Y FACTURA'!$BA$1:$BC$1,'DETALLE ENERGIA Y FACTURA'!$BE$1:$BN$1)</c:f>
              <c:strCache>
                <c:ptCount val="13"/>
                <c:pt idx="0">
                  <c:v>oct-24</c:v>
                </c:pt>
                <c:pt idx="1">
                  <c:v>nov-24</c:v>
                </c:pt>
                <c:pt idx="2">
                  <c:v>dic-24</c:v>
                </c:pt>
                <c:pt idx="3">
                  <c:v>ene-25</c:v>
                </c:pt>
                <c:pt idx="4">
                  <c:v>feb-25</c:v>
                </c:pt>
                <c:pt idx="5">
                  <c:v>mar-25</c:v>
                </c:pt>
                <c:pt idx="6">
                  <c:v>abr-25</c:v>
                </c:pt>
                <c:pt idx="7">
                  <c:v>may-25</c:v>
                </c:pt>
                <c:pt idx="8">
                  <c:v>jun-25</c:v>
                </c:pt>
                <c:pt idx="9">
                  <c:v>jul-25</c:v>
                </c:pt>
                <c:pt idx="10">
                  <c:v>ago-25</c:v>
                </c:pt>
                <c:pt idx="11">
                  <c:v>sep-25</c:v>
                </c:pt>
                <c:pt idx="12">
                  <c:v>oct-25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FACTURA'!$E$14:$BN$14</c15:sqref>
                  </c15:fullRef>
                </c:ext>
              </c:extLst>
              <c:f>('DETALLE ENERGIA Y FACTURA'!$BA$14:$BC$14,'DETALLE ENERGIA Y FACTURA'!$BE$14:$BN$14)</c:f>
              <c:numCache>
                <c:formatCode>_(* #,##0.00_);_(* \(#,##0.00\);_(* "-"??_);_(@_)</c:formatCode>
                <c:ptCount val="13"/>
                <c:pt idx="0" formatCode="_-* #,##0_-;\-* #,##0_-;_-* &quot;-&quot;??_-;_-@_-">
                  <c:v>2544286.8399563204</c:v>
                </c:pt>
                <c:pt idx="1" formatCode="_-* #,##0_-;\-* #,##0_-;_-* &quot;-&quot;??_-;_-@_-">
                  <c:v>2281275.656734576</c:v>
                </c:pt>
                <c:pt idx="2" formatCode="_-* #,##0_-;\-* #,##0_-;_-* &quot;-&quot;??_-;_-@_-">
                  <c:v>2394279.7567519997</c:v>
                </c:pt>
                <c:pt idx="3" formatCode="_-* #,##0_-;\-* #,##0_-;_-* &quot;-&quot;??_-;_-@_-">
                  <c:v>2476787.1307119997</c:v>
                </c:pt>
                <c:pt idx="4" formatCode="_-* #,##0_-;\-* #,##0_-;_-* &quot;-&quot;??_-;_-@_-">
                  <c:v>2329796.1519390899</c:v>
                </c:pt>
                <c:pt idx="5" formatCode="_-* #,##0_-;\-* #,##0_-;_-* &quot;-&quot;??_-;_-@_-">
                  <c:v>2681521.0354844015</c:v>
                </c:pt>
                <c:pt idx="6" formatCode="_-* #,##0_-;\-* #,##0_-;_-* &quot;-&quot;??_-;_-@_-">
                  <c:v>2701113.9965964612</c:v>
                </c:pt>
                <c:pt idx="7" formatCode="_-* #,##0_-;\-* #,##0_-;_-* &quot;-&quot;??_-;_-@_-">
                  <c:v>2977934.9436898837</c:v>
                </c:pt>
                <c:pt idx="8" formatCode="_-* #,##0_-;\-* #,##0_-;_-* &quot;-&quot;??_-;_-@_-">
                  <c:v>2626965.923839225</c:v>
                </c:pt>
                <c:pt idx="9" formatCode="_-* #,##0_-;\-* #,##0_-;_-* &quot;-&quot;??_-;_-@_-">
                  <c:v>2504054.1696650069</c:v>
                </c:pt>
                <c:pt idx="10" formatCode="_-* #,##0_-;\-* #,##0_-;_-* &quot;-&quot;??_-;_-@_-">
                  <c:v>2771266.9850606639</c:v>
                </c:pt>
                <c:pt idx="11" formatCode="_-* #,##0_-;\-* #,##0_-;_-* &quot;-&quot;??_-;_-@_-">
                  <c:v>2686641.8692023456</c:v>
                </c:pt>
                <c:pt idx="12" formatCode="_-* #,##0_-;\-* #,##0_-;_-* &quot;-&quot;??_-;_-@_-">
                  <c:v>2780572.2585167531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'DETALLE ENERGIA Y FACTURA'!$AV$14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2A7B-4EF1-9465-1D26F16962CC}"/>
                      </c:ext>
                    </c:extLst>
                  </c15:dLbl>
                </c15:categoryFilterException>
                <c15:categoryFilterException>
                  <c15:sqref>'DETALLE ENERGIA Y FACTURA'!$AW$14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2A7B-4EF1-9465-1D26F16962CC}"/>
                      </c:ext>
                    </c:extLst>
                  </c15:dLbl>
                </c15:categoryFilterException>
                <c15:categoryFilterException>
                  <c15:sqref>'DETALLE ENERGIA Y FACTURA'!$AX$14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2A7B-4EF1-9465-1D26F16962CC}"/>
                      </c:ext>
                    </c:extLst>
                  </c15:dLbl>
                </c15:categoryFilterException>
                <c15:categoryFilterException>
                  <c15:sqref>'DETALLE ENERGIA Y FACTURA'!$AY$14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2A7B-4EF1-9465-1D26F16962CC}"/>
                      </c:ext>
                    </c:extLst>
                  </c15:dLbl>
                </c15:categoryFilterException>
                <c15:categoryFilterException>
                  <c15:sqref>'DETALLE ENERGIA Y FACTURA'!$AZ$14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2A7B-4EF1-9465-1D26F16962C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31F0-4D38-9F9E-E171D19E028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57651359"/>
        <c:axId val="857644639"/>
      </c:lineChart>
      <c:dateAx>
        <c:axId val="8576513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44639"/>
        <c:crosses val="autoZero"/>
        <c:auto val="1"/>
        <c:lblOffset val="100"/>
        <c:baseTimeUnit val="months"/>
      </c:dateAx>
      <c:valAx>
        <c:axId val="857644639"/>
        <c:scaling>
          <c:orientation val="minMax"/>
          <c:min val="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5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Consumo Energía de Palas Eléctricas (kWh)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Peforadoras Mina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562-4766-960E-8E2EC7E0CE5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562-4766-960E-8E2EC7E0CE5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62-4766-960E-8E2EC7E0CE5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62-4766-960E-8E2EC7E0CE5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62-4766-960E-8E2EC7E0CE5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62-4766-960E-8E2EC7E0CE5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562-4766-960E-8E2EC7E0CE5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60-480C-AF13-697A4B36FE6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60-480C-AF13-697A4B36FE6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E8-45DC-8D92-B2BDE51AD8E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95-4558-838C-18028D6D77F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895-4558-838C-18028D6D77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tx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FACTURA'!$E$1:$BN$1</c15:sqref>
                  </c15:fullRef>
                </c:ext>
              </c:extLst>
              <c:f>('DETALLE ENERGIA Y FACTURA'!$BA$1:$BC$1,'DETALLE ENERGIA Y FACTURA'!$BE$1:$BN$1)</c:f>
              <c:strCache>
                <c:ptCount val="13"/>
                <c:pt idx="0">
                  <c:v>oct-24</c:v>
                </c:pt>
                <c:pt idx="1">
                  <c:v>nov-24</c:v>
                </c:pt>
                <c:pt idx="2">
                  <c:v>dic-24</c:v>
                </c:pt>
                <c:pt idx="3">
                  <c:v>ene-25</c:v>
                </c:pt>
                <c:pt idx="4">
                  <c:v>feb-25</c:v>
                </c:pt>
                <c:pt idx="5">
                  <c:v>mar-25</c:v>
                </c:pt>
                <c:pt idx="6">
                  <c:v>abr-25</c:v>
                </c:pt>
                <c:pt idx="7">
                  <c:v>may-25</c:v>
                </c:pt>
                <c:pt idx="8">
                  <c:v>jun-25</c:v>
                </c:pt>
                <c:pt idx="9">
                  <c:v>jul-25</c:v>
                </c:pt>
                <c:pt idx="10">
                  <c:v>ago-25</c:v>
                </c:pt>
                <c:pt idx="11">
                  <c:v>sep-25</c:v>
                </c:pt>
                <c:pt idx="12">
                  <c:v>oct-25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FACTURA'!$E$15:$BN$15</c15:sqref>
                  </c15:fullRef>
                </c:ext>
              </c:extLst>
              <c:f>('DETALLE ENERGIA Y FACTURA'!$BA$15:$BC$15,'DETALLE ENERGIA Y FACTURA'!$BE$15:$BN$15)</c:f>
              <c:numCache>
                <c:formatCode>_(* #,##0.00_);_(* \(#,##0.00\);_(* "-"??_);_(@_)</c:formatCode>
                <c:ptCount val="13"/>
                <c:pt idx="0" formatCode="_-* #,##0_-;\-* #,##0_-;_-* &quot;-&quot;??_-;_-@_-">
                  <c:v>636071.70998908009</c:v>
                </c:pt>
                <c:pt idx="1" formatCode="_-* #,##0_-;\-* #,##0_-;_-* &quot;-&quot;??_-;_-@_-">
                  <c:v>570318.914183644</c:v>
                </c:pt>
                <c:pt idx="2" formatCode="_-* #,##0_-;\-* #,##0_-;_-* &quot;-&quot;??_-;_-@_-">
                  <c:v>598569.93918799993</c:v>
                </c:pt>
                <c:pt idx="3" formatCode="_-* #,##0_-;\-* #,##0_-;_-* &quot;-&quot;??_-;_-@_-">
                  <c:v>619196.78267799993</c:v>
                </c:pt>
                <c:pt idx="4" formatCode="_-* #,##0_-;\-* #,##0_-;_-* &quot;-&quot;??_-;_-@_-">
                  <c:v>582449.03798477247</c:v>
                </c:pt>
                <c:pt idx="5" formatCode="_-* #,##0_-;\-* #,##0_-;_-* &quot;-&quot;??_-;_-@_-">
                  <c:v>670380.25887110038</c:v>
                </c:pt>
                <c:pt idx="6" formatCode="_-* #,##0_-;\-* #,##0_-;_-* &quot;-&quot;??_-;_-@_-">
                  <c:v>675278.49914911529</c:v>
                </c:pt>
                <c:pt idx="7" formatCode="_-* #,##0_-;\-* #,##0_-;_-* &quot;-&quot;??_-;_-@_-">
                  <c:v>744483.73592247092</c:v>
                </c:pt>
                <c:pt idx="8" formatCode="_-* #,##0_-;\-* #,##0_-;_-* &quot;-&quot;??_-;_-@_-">
                  <c:v>656741.48095980624</c:v>
                </c:pt>
                <c:pt idx="9" formatCode="_-* #,##0_-;\-* #,##0_-;_-* &quot;-&quot;??_-;_-@_-">
                  <c:v>670870.69645099307</c:v>
                </c:pt>
                <c:pt idx="10" formatCode="_-* #,##0_-;\-* #,##0_-;_-* &quot;-&quot;??_-;_-@_-">
                  <c:v>692816.74626516597</c:v>
                </c:pt>
                <c:pt idx="11" formatCode="_-* #,##0_-;\-* #,##0_-;_-* &quot;-&quot;??_-;_-@_-">
                  <c:v>702255.82118915464</c:v>
                </c:pt>
                <c:pt idx="12" formatCode="_-* #,##0_-;\-* #,##0_-;_-* &quot;-&quot;??_-;_-@_-">
                  <c:v>665381.58785607317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'DETALLE ENERGIA Y FACTURA'!$AU$15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E195-4A87-A4B4-8C1C57422C7F}"/>
                      </c:ext>
                    </c:extLst>
                  </c15:dLbl>
                </c15:categoryFilterException>
                <c15:categoryFilterException>
                  <c15:sqref>'DETALLE ENERGIA Y FACTURA'!$AV$15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E195-4A87-A4B4-8C1C57422C7F}"/>
                      </c:ext>
                    </c:extLst>
                  </c15:dLbl>
                </c15:categoryFilterException>
                <c15:categoryFilterException>
                  <c15:sqref>'DETALLE ENERGIA Y FACTURA'!$AW$15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E195-4A87-A4B4-8C1C57422C7F}"/>
                      </c:ext>
                    </c:extLst>
                  </c15:dLbl>
                </c15:categoryFilterException>
                <c15:categoryFilterException>
                  <c15:sqref>'DETALLE ENERGIA Y FACTURA'!$AX$15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E195-4A87-A4B4-8C1C57422C7F}"/>
                      </c:ext>
                    </c:extLst>
                  </c15:dLbl>
                </c15:categoryFilterException>
                <c15:categoryFilterException>
                  <c15:sqref>'DETALLE ENERGIA Y FACTURA'!$AY$15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E195-4A87-A4B4-8C1C57422C7F}"/>
                      </c:ext>
                    </c:extLst>
                  </c15:dLbl>
                </c15:categoryFilterException>
                <c15:categoryFilterException>
                  <c15:sqref>'DETALLE ENERGIA Y FACTURA'!$AZ$15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E195-4A87-A4B4-8C1C57422C7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6562-4766-960E-8E2EC7E0CE5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57651359"/>
        <c:axId val="857644639"/>
      </c:lineChart>
      <c:dateAx>
        <c:axId val="8576513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44639"/>
        <c:crosses val="autoZero"/>
        <c:auto val="1"/>
        <c:lblOffset val="100"/>
        <c:baseTimeUnit val="months"/>
      </c:dateAx>
      <c:valAx>
        <c:axId val="857644639"/>
        <c:scaling>
          <c:orientation val="minMax"/>
          <c:min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513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Consumo Energía de Sulfuros (kWh)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Planta Sulfuros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C3D-47DC-85EE-8B1226485AA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C3D-47DC-85EE-8B1226485AA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3D-47DC-85EE-8B1226485AA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3D-47DC-85EE-8B1226485AA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3D-47DC-85EE-8B1226485AA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3D-47DC-85EE-8B1226485AA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3D-47DC-85EE-8B1226485AA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16-4DAB-964F-EC454225C94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12-446B-A613-B779BB49D8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A9-4367-8C35-FAF22C8860C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78-4E0F-B7FB-9AB9ADACA9B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B78-4E0F-B7FB-9AB9ADACA9B9}"/>
                </c:ext>
              </c:extLst>
            </c:dLbl>
            <c:dLbl>
              <c:idx val="12"/>
              <c:layout>
                <c:manualLayout>
                  <c:x val="0"/>
                  <c:y val="-4.66952680290001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B78-4E0F-B7FB-9AB9ADACA9B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tx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FACTURA'!$E$1:$BN$1</c15:sqref>
                  </c15:fullRef>
                </c:ext>
              </c:extLst>
              <c:f>('DETALLE ENERGIA Y FACTURA'!$BA$1:$BC$1,'DETALLE ENERGIA Y FACTURA'!$BE$1:$BN$1)</c:f>
              <c:strCache>
                <c:ptCount val="13"/>
                <c:pt idx="0">
                  <c:v>oct-24</c:v>
                </c:pt>
                <c:pt idx="1">
                  <c:v>nov-24</c:v>
                </c:pt>
                <c:pt idx="2">
                  <c:v>dic-24</c:v>
                </c:pt>
                <c:pt idx="3">
                  <c:v>ene-25</c:v>
                </c:pt>
                <c:pt idx="4">
                  <c:v>feb-25</c:v>
                </c:pt>
                <c:pt idx="5">
                  <c:v>mar-25</c:v>
                </c:pt>
                <c:pt idx="6">
                  <c:v>abr-25</c:v>
                </c:pt>
                <c:pt idx="7">
                  <c:v>may-25</c:v>
                </c:pt>
                <c:pt idx="8">
                  <c:v>jun-25</c:v>
                </c:pt>
                <c:pt idx="9">
                  <c:v>jul-25</c:v>
                </c:pt>
                <c:pt idx="10">
                  <c:v>ago-25</c:v>
                </c:pt>
                <c:pt idx="11">
                  <c:v>sep-25</c:v>
                </c:pt>
                <c:pt idx="12">
                  <c:v>oct-25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FACTURA'!$E$19:$BN$19</c15:sqref>
                  </c15:fullRef>
                </c:ext>
              </c:extLst>
              <c:f>('DETALLE ENERGIA Y FACTURA'!$BA$19:$BC$19,'DETALLE ENERGIA Y FACTURA'!$BE$19:$BN$19)</c:f>
              <c:numCache>
                <c:formatCode>_(* #,##0.00_);_(* \(#,##0.00\);_(* "-"??_);_(@_)</c:formatCode>
                <c:ptCount val="13"/>
                <c:pt idx="0">
                  <c:v>13830337.815743171</c:v>
                </c:pt>
                <c:pt idx="1">
                  <c:v>13286005.1522184</c:v>
                </c:pt>
                <c:pt idx="2">
                  <c:v>13548032.428908449</c:v>
                </c:pt>
                <c:pt idx="3">
                  <c:v>11517384.867817931</c:v>
                </c:pt>
                <c:pt idx="4">
                  <c:v>12591985.67009417</c:v>
                </c:pt>
                <c:pt idx="5">
                  <c:v>13268736.127328383</c:v>
                </c:pt>
                <c:pt idx="6">
                  <c:v>11367090.605715711</c:v>
                </c:pt>
                <c:pt idx="7">
                  <c:v>13911014.558089346</c:v>
                </c:pt>
                <c:pt idx="8">
                  <c:v>13571888.220580652</c:v>
                </c:pt>
                <c:pt idx="9">
                  <c:v>14121231.994301535</c:v>
                </c:pt>
                <c:pt idx="10">
                  <c:v>12879590.780208582</c:v>
                </c:pt>
                <c:pt idx="11">
                  <c:v>14040308.523309503</c:v>
                </c:pt>
                <c:pt idx="12">
                  <c:v>12349019.661499284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'DETALLE ENERGIA Y FACTURA'!$AU$19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8155-4C16-A165-27069FFCFD40}"/>
                      </c:ext>
                    </c:extLst>
                  </c15:dLbl>
                </c15:categoryFilterException>
                <c15:categoryFilterException>
                  <c15:sqref>'DETALLE ENERGIA Y FACTURA'!$AV$19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8155-4C16-A165-27069FFCFD40}"/>
                      </c:ext>
                    </c:extLst>
                  </c15:dLbl>
                </c15:categoryFilterException>
                <c15:categoryFilterException>
                  <c15:sqref>'DETALLE ENERGIA Y FACTURA'!$AW$19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8155-4C16-A165-27069FFCFD40}"/>
                      </c:ext>
                    </c:extLst>
                  </c15:dLbl>
                </c15:categoryFilterException>
                <c15:categoryFilterException>
                  <c15:sqref>'DETALLE ENERGIA Y FACTURA'!$AX$19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8155-4C16-A165-27069FFCFD40}"/>
                      </c:ext>
                    </c:extLst>
                  </c15:dLbl>
                </c15:categoryFilterException>
                <c15:categoryFilterException>
                  <c15:sqref>'DETALLE ENERGIA Y FACTURA'!$AY$19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8155-4C16-A165-27069FFCFD40}"/>
                      </c:ext>
                    </c:extLst>
                  </c15:dLbl>
                </c15:categoryFilterException>
                <c15:categoryFilterException>
                  <c15:sqref>'DETALLE ENERGIA Y FACTURA'!$AZ$19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8155-4C16-A165-27069FFCFD4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BC3D-47DC-85EE-8B1226485A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57651359"/>
        <c:axId val="857644639"/>
      </c:barChart>
      <c:dateAx>
        <c:axId val="8576513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44639"/>
        <c:crosses val="autoZero"/>
        <c:auto val="1"/>
        <c:lblOffset val="100"/>
        <c:baseTimeUnit val="months"/>
      </c:dateAx>
      <c:valAx>
        <c:axId val="857644639"/>
        <c:scaling>
          <c:orientation val="minMax"/>
          <c:min val="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5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Consumo Energía de Óxidos (kWh)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Planta Óxidos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59-4ACF-A9B6-03B17A8493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959-4ACF-A9B6-03B17A8493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59-4ACF-A9B6-03B17A8493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59-4ACF-A9B6-03B17A8493D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959-4ACF-A9B6-03B17A8493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59-4ACF-A9B6-03B17A8493D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959-4ACF-A9B6-03B17A8493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66-4706-96E5-F2928E87605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B3-4476-BA2E-36AFF930A0B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0B-4889-80A3-15CBAE81279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0A-480A-B703-8FBD683D42E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0A-480A-B703-8FBD683D42E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tx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FACTURA'!$E$1:$BN$1</c15:sqref>
                  </c15:fullRef>
                </c:ext>
              </c:extLst>
              <c:f>('DETALLE ENERGIA Y FACTURA'!$BA$1:$BC$1,'DETALLE ENERGIA Y FACTURA'!$BE$1:$BN$1)</c:f>
              <c:strCache>
                <c:ptCount val="13"/>
                <c:pt idx="0">
                  <c:v>oct-24</c:v>
                </c:pt>
                <c:pt idx="1">
                  <c:v>nov-24</c:v>
                </c:pt>
                <c:pt idx="2">
                  <c:v>dic-24</c:v>
                </c:pt>
                <c:pt idx="3">
                  <c:v>ene-25</c:v>
                </c:pt>
                <c:pt idx="4">
                  <c:v>feb-25</c:v>
                </c:pt>
                <c:pt idx="5">
                  <c:v>mar-25</c:v>
                </c:pt>
                <c:pt idx="6">
                  <c:v>abr-25</c:v>
                </c:pt>
                <c:pt idx="7">
                  <c:v>may-25</c:v>
                </c:pt>
                <c:pt idx="8">
                  <c:v>jun-25</c:v>
                </c:pt>
                <c:pt idx="9">
                  <c:v>jul-25</c:v>
                </c:pt>
                <c:pt idx="10">
                  <c:v>ago-25</c:v>
                </c:pt>
                <c:pt idx="11">
                  <c:v>sep-25</c:v>
                </c:pt>
                <c:pt idx="12">
                  <c:v>oct-25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FACTURA'!$E$31:$BN$31</c15:sqref>
                  </c15:fullRef>
                </c:ext>
              </c:extLst>
              <c:f>('DETALLE ENERGIA Y FACTURA'!$BA$31:$BC$31,'DETALLE ENERGIA Y FACTURA'!$BE$31:$BN$31)</c:f>
              <c:numCache>
                <c:formatCode>_(* #,##0.00_);_(* \(#,##0.00\);_(* "-"??_);_(@_)</c:formatCode>
                <c:ptCount val="13"/>
                <c:pt idx="0">
                  <c:v>9406805.4405846074</c:v>
                </c:pt>
                <c:pt idx="1">
                  <c:v>10335885.519631604</c:v>
                </c:pt>
                <c:pt idx="2">
                  <c:v>10976427.601455849</c:v>
                </c:pt>
                <c:pt idx="3">
                  <c:v>10982475.903043067</c:v>
                </c:pt>
                <c:pt idx="4">
                  <c:v>7605282.5450912397</c:v>
                </c:pt>
                <c:pt idx="5">
                  <c:v>10695210.695019282</c:v>
                </c:pt>
                <c:pt idx="6">
                  <c:v>10913603.078012913</c:v>
                </c:pt>
                <c:pt idx="7">
                  <c:v>10435604.743917707</c:v>
                </c:pt>
                <c:pt idx="8">
                  <c:v>10924833.356965348</c:v>
                </c:pt>
                <c:pt idx="9">
                  <c:v>12002117.854718469</c:v>
                </c:pt>
                <c:pt idx="10">
                  <c:v>12512224.277311418</c:v>
                </c:pt>
                <c:pt idx="11">
                  <c:v>12922358.2595105</c:v>
                </c:pt>
                <c:pt idx="12">
                  <c:v>11141256.460867673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'DETALLE ENERGIA Y FACTURA'!$AT$31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9D2E-4C9C-80E7-CEED68598014}"/>
                      </c:ext>
                    </c:extLst>
                  </c15:dLbl>
                </c15:categoryFilterException>
                <c15:categoryFilterException>
                  <c15:sqref>'DETALLE ENERGIA Y FACTURA'!$AU$31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9D2E-4C9C-80E7-CEED68598014}"/>
                      </c:ext>
                    </c:extLst>
                  </c15:dLbl>
                </c15:categoryFilterException>
                <c15:categoryFilterException>
                  <c15:sqref>'DETALLE ENERGIA Y FACTURA'!$AV$31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9D2E-4C9C-80E7-CEED68598014}"/>
                      </c:ext>
                    </c:extLst>
                  </c15:dLbl>
                </c15:categoryFilterException>
                <c15:categoryFilterException>
                  <c15:sqref>'DETALLE ENERGIA Y FACTURA'!$AW$31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9D2E-4C9C-80E7-CEED68598014}"/>
                      </c:ext>
                    </c:extLst>
                  </c15:dLbl>
                </c15:categoryFilterException>
                <c15:categoryFilterException>
                  <c15:sqref>'DETALLE ENERGIA Y FACTURA'!$AX$31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9D2E-4C9C-80E7-CEED68598014}"/>
                      </c:ext>
                    </c:extLst>
                  </c15:dLbl>
                </c15:categoryFilterException>
                <c15:categoryFilterException>
                  <c15:sqref>'DETALLE ENERGIA Y FACTURA'!$AY$31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9D2E-4C9C-80E7-CEED68598014}"/>
                      </c:ext>
                    </c:extLst>
                  </c15:dLbl>
                </c15:categoryFilterException>
                <c15:categoryFilterException>
                  <c15:sqref>'DETALLE ENERGIA Y FACTURA'!$AZ$31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9D2E-4C9C-80E7-CEED6859801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6959-4ACF-A9B6-03B17A8493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57651359"/>
        <c:axId val="857644639"/>
      </c:barChart>
      <c:dateAx>
        <c:axId val="8576513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44639"/>
        <c:crosses val="autoZero"/>
        <c:auto val="1"/>
        <c:lblOffset val="100"/>
        <c:baseTimeUnit val="months"/>
      </c:dateAx>
      <c:valAx>
        <c:axId val="857644639"/>
        <c:scaling>
          <c:orientation val="minMax"/>
          <c:min val="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5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Consumo Energía de Infraestructura (kWh)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04C-4487-BDD4-CF7E2BFEC94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4C-4487-BDD4-CF7E2BFEC94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4C-4487-BDD4-CF7E2BFEC94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4C-4487-BDD4-CF7E2BFEC94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4C-4487-BDD4-CF7E2BFEC94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4C-4487-BDD4-CF7E2BFEC94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04C-4487-BDD4-CF7E2BFEC94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19-40E4-9954-E7CDBC2CF38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20-4C3F-9C04-D0274B6B3C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20-4C3F-9C04-D0274B6B3C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91-4919-89F0-B5D73A59F39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91-4919-89F0-B5D73A59F39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tx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FACTURA'!$E$1:$BN$1</c15:sqref>
                  </c15:fullRef>
                </c:ext>
              </c:extLst>
              <c:f>('DETALLE ENERGIA Y FACTURA'!$BA$1:$BC$1,'DETALLE ENERGIA Y FACTURA'!$BE$1:$BN$1)</c:f>
              <c:strCache>
                <c:ptCount val="13"/>
                <c:pt idx="0">
                  <c:v>oct-24</c:v>
                </c:pt>
                <c:pt idx="1">
                  <c:v>nov-24</c:v>
                </c:pt>
                <c:pt idx="2">
                  <c:v>dic-24</c:v>
                </c:pt>
                <c:pt idx="3">
                  <c:v>ene-25</c:v>
                </c:pt>
                <c:pt idx="4">
                  <c:v>feb-25</c:v>
                </c:pt>
                <c:pt idx="5">
                  <c:v>mar-25</c:v>
                </c:pt>
                <c:pt idx="6">
                  <c:v>abr-25</c:v>
                </c:pt>
                <c:pt idx="7">
                  <c:v>may-25</c:v>
                </c:pt>
                <c:pt idx="8">
                  <c:v>jun-25</c:v>
                </c:pt>
                <c:pt idx="9">
                  <c:v>jul-25</c:v>
                </c:pt>
                <c:pt idx="10">
                  <c:v>ago-25</c:v>
                </c:pt>
                <c:pt idx="11">
                  <c:v>sep-25</c:v>
                </c:pt>
                <c:pt idx="12">
                  <c:v>oct-25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FACTURA'!$E$28:$BN$28</c15:sqref>
                  </c15:fullRef>
                </c:ext>
              </c:extLst>
              <c:f>('DETALLE ENERGIA Y FACTURA'!$BA$28:$BC$28,'DETALLE ENERGIA Y FACTURA'!$BE$28:$BN$28)</c:f>
              <c:numCache>
                <c:formatCode>_(* #,##0.00_);_(* \(#,##0.00\);_(* "-"??_);_(@_)</c:formatCode>
                <c:ptCount val="13"/>
                <c:pt idx="0">
                  <c:v>4360972.5329999998</c:v>
                </c:pt>
                <c:pt idx="1">
                  <c:v>4337877.372200001</c:v>
                </c:pt>
                <c:pt idx="2">
                  <c:v>4397553.0717000002</c:v>
                </c:pt>
                <c:pt idx="3">
                  <c:v>4137071.0336999996</c:v>
                </c:pt>
                <c:pt idx="4">
                  <c:v>3940153.8193052425</c:v>
                </c:pt>
                <c:pt idx="5">
                  <c:v>4685889.5569614898</c:v>
                </c:pt>
                <c:pt idx="6">
                  <c:v>4235465.4972645501</c:v>
                </c:pt>
                <c:pt idx="7">
                  <c:v>4494460.3772221282</c:v>
                </c:pt>
                <c:pt idx="8">
                  <c:v>4454419.4413000001</c:v>
                </c:pt>
                <c:pt idx="9">
                  <c:v>4660321.1298999991</c:v>
                </c:pt>
                <c:pt idx="10">
                  <c:v>4346502.9910999984</c:v>
                </c:pt>
                <c:pt idx="11">
                  <c:v>4620966.9947999986</c:v>
                </c:pt>
                <c:pt idx="12">
                  <c:v>4320108.2632414112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'DETALLE ENERGIA Y FACTURA'!$AU$28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06EA-45D0-8EB4-505C6CB859CE}"/>
                      </c:ext>
                    </c:extLst>
                  </c15:dLbl>
                </c15:categoryFilterException>
                <c15:categoryFilterException>
                  <c15:sqref>'DETALLE ENERGIA Y FACTURA'!$AV$28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06EA-45D0-8EB4-505C6CB859CE}"/>
                      </c:ext>
                    </c:extLst>
                  </c15:dLbl>
                </c15:categoryFilterException>
                <c15:categoryFilterException>
                  <c15:sqref>'DETALLE ENERGIA Y FACTURA'!$AW$28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06EA-45D0-8EB4-505C6CB859CE}"/>
                      </c:ext>
                    </c:extLst>
                  </c15:dLbl>
                </c15:categoryFilterException>
                <c15:categoryFilterException>
                  <c15:sqref>'DETALLE ENERGIA Y FACTURA'!$AX$28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06EA-45D0-8EB4-505C6CB859CE}"/>
                      </c:ext>
                    </c:extLst>
                  </c15:dLbl>
                </c15:categoryFilterException>
                <c15:categoryFilterException>
                  <c15:sqref>'DETALLE ENERGIA Y FACTURA'!$AY$28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06EA-45D0-8EB4-505C6CB859CE}"/>
                      </c:ext>
                    </c:extLst>
                  </c15:dLbl>
                </c15:categoryFilterException>
                <c15:categoryFilterException>
                  <c15:sqref>'DETALLE ENERGIA Y FACTURA'!$AZ$28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06EA-45D0-8EB4-505C6CB859C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D0E5-4EB7-8A59-8C5C4D37D7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57651359"/>
        <c:axId val="857644639"/>
      </c:barChart>
      <c:dateAx>
        <c:axId val="8576513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44639"/>
        <c:crosses val="autoZero"/>
        <c:auto val="1"/>
        <c:lblOffset val="100"/>
        <c:baseTimeUnit val="months"/>
      </c:dateAx>
      <c:valAx>
        <c:axId val="857644639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5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Toneladas Movidas 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Graficas!$AC$24</c:f>
              <c:strCache>
                <c:ptCount val="1"/>
                <c:pt idx="0">
                  <c:v>Mov Tn Real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Graficas!$AA$25:$AA$36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Graficas!$AC$25:$AC$36</c:f>
              <c:numCache>
                <c:formatCode>#,##0</c:formatCode>
                <c:ptCount val="12"/>
                <c:pt idx="0">
                  <c:v>9255</c:v>
                </c:pt>
                <c:pt idx="1">
                  <c:v>8341</c:v>
                </c:pt>
                <c:pt idx="2">
                  <c:v>9732</c:v>
                </c:pt>
                <c:pt idx="3">
                  <c:v>9565</c:v>
                </c:pt>
                <c:pt idx="4">
                  <c:v>10116</c:v>
                </c:pt>
                <c:pt idx="5">
                  <c:v>9124</c:v>
                </c:pt>
                <c:pt idx="6">
                  <c:v>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2C3-4090-8FCC-0E97027F0ED8}"/>
            </c:ext>
          </c:extLst>
        </c:ser>
        <c:ser>
          <c:idx val="0"/>
          <c:order val="1"/>
          <c:tx>
            <c:strRef>
              <c:f>Graficas!$AB$24</c:f>
              <c:strCache>
                <c:ptCount val="1"/>
                <c:pt idx="0">
                  <c:v>Mov Tn Pry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Graficas!$AA$25:$AA$36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Graficas!$AB$25:$AB$36</c:f>
              <c:numCache>
                <c:formatCode>#,##0</c:formatCode>
                <c:ptCount val="12"/>
                <c:pt idx="0">
                  <c:v>9583</c:v>
                </c:pt>
                <c:pt idx="1">
                  <c:v>8949</c:v>
                </c:pt>
                <c:pt idx="2">
                  <c:v>9979</c:v>
                </c:pt>
                <c:pt idx="3">
                  <c:v>8085</c:v>
                </c:pt>
                <c:pt idx="4">
                  <c:v>9704</c:v>
                </c:pt>
                <c:pt idx="5">
                  <c:v>9318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2C3-4090-8FCC-0E97027F0E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57651359"/>
        <c:axId val="857644639"/>
      </c:lineChart>
      <c:catAx>
        <c:axId val="85765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44639"/>
        <c:crosses val="autoZero"/>
        <c:auto val="1"/>
        <c:lblAlgn val="ctr"/>
        <c:lblOffset val="100"/>
        <c:noMultiLvlLbl val="0"/>
      </c:catAx>
      <c:valAx>
        <c:axId val="857644639"/>
        <c:scaling>
          <c:orientation val="minMax"/>
          <c:min val="7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51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Mineral Tratado Sulfuros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Graficas!$AE$24</c:f>
              <c:strCache>
                <c:ptCount val="1"/>
                <c:pt idx="0">
                  <c:v>Sul Real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Graficas!$AA$25:$AA$36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Graficas!$AE$25:$AE$36</c:f>
              <c:numCache>
                <c:formatCode>#,##0</c:formatCode>
                <c:ptCount val="12"/>
                <c:pt idx="0">
                  <c:v>507</c:v>
                </c:pt>
                <c:pt idx="1">
                  <c:v>568</c:v>
                </c:pt>
                <c:pt idx="2">
                  <c:v>611</c:v>
                </c:pt>
                <c:pt idx="3">
                  <c:v>503</c:v>
                </c:pt>
                <c:pt idx="4">
                  <c:v>604</c:v>
                </c:pt>
                <c:pt idx="5">
                  <c:v>579</c:v>
                </c:pt>
                <c:pt idx="6">
                  <c:v>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3B-470A-B1F1-55F0451784A1}"/>
            </c:ext>
          </c:extLst>
        </c:ser>
        <c:ser>
          <c:idx val="0"/>
          <c:order val="1"/>
          <c:tx>
            <c:strRef>
              <c:f>Graficas!$AD$24</c:f>
              <c:strCache>
                <c:ptCount val="1"/>
                <c:pt idx="0">
                  <c:v>Sul Pry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Graficas!$AA$25:$AA$36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Graficas!$AD$25:$AD$36</c:f>
              <c:numCache>
                <c:formatCode>#,##0</c:formatCode>
                <c:ptCount val="12"/>
                <c:pt idx="0">
                  <c:v>504</c:v>
                </c:pt>
                <c:pt idx="1">
                  <c:v>547</c:v>
                </c:pt>
                <c:pt idx="2">
                  <c:v>618</c:v>
                </c:pt>
                <c:pt idx="3">
                  <c:v>495</c:v>
                </c:pt>
                <c:pt idx="4">
                  <c:v>623</c:v>
                </c:pt>
                <c:pt idx="5">
                  <c:v>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3B-470A-B1F1-55F0451784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57651359"/>
        <c:axId val="857644639"/>
      </c:lineChart>
      <c:catAx>
        <c:axId val="85765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44639"/>
        <c:crosses val="autoZero"/>
        <c:auto val="1"/>
        <c:lblAlgn val="ctr"/>
        <c:lblOffset val="100"/>
        <c:noMultiLvlLbl val="0"/>
      </c:catAx>
      <c:valAx>
        <c:axId val="857644639"/>
        <c:scaling>
          <c:orientation val="minMax"/>
          <c:min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51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Bombeo</a:t>
            </a:r>
            <a:r>
              <a:rPr lang="es-PE" baseline="0"/>
              <a:t> de Agua (m3)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Graficas!$AI$24</c:f>
              <c:strCache>
                <c:ptCount val="1"/>
                <c:pt idx="0">
                  <c:v>H2O Real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Graficas!$AA$25:$AA$36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Graficas!$AI$25:$AI$36</c:f>
              <c:numCache>
                <c:formatCode>#,##0</c:formatCode>
                <c:ptCount val="12"/>
                <c:pt idx="0">
                  <c:v>595000</c:v>
                </c:pt>
                <c:pt idx="1">
                  <c:v>573000</c:v>
                </c:pt>
                <c:pt idx="2">
                  <c:v>667000</c:v>
                </c:pt>
                <c:pt idx="3">
                  <c:v>597000</c:v>
                </c:pt>
                <c:pt idx="4">
                  <c:v>648000</c:v>
                </c:pt>
                <c:pt idx="5">
                  <c:v>635000</c:v>
                </c:pt>
                <c:pt idx="6">
                  <c:v>666000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C-4C3E-9F40-367C55123E2B}"/>
            </c:ext>
          </c:extLst>
        </c:ser>
        <c:ser>
          <c:idx val="0"/>
          <c:order val="1"/>
          <c:tx>
            <c:strRef>
              <c:f>Graficas!$AH$24</c:f>
              <c:strCache>
                <c:ptCount val="1"/>
                <c:pt idx="0">
                  <c:v>H2O Pry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Graficas!$AA$25:$AA$36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Graficas!$AH$25:$AH$36</c:f>
              <c:numCache>
                <c:formatCode>#,##0</c:formatCode>
                <c:ptCount val="12"/>
                <c:pt idx="0">
                  <c:v>615</c:v>
                </c:pt>
                <c:pt idx="1">
                  <c:v>586</c:v>
                </c:pt>
                <c:pt idx="2">
                  <c:v>686</c:v>
                </c:pt>
                <c:pt idx="3">
                  <c:v>600</c:v>
                </c:pt>
                <c:pt idx="4">
                  <c:v>678</c:v>
                </c:pt>
                <c:pt idx="5">
                  <c:v>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DC-4C3E-9F40-367C55123E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57651359"/>
        <c:axId val="857644639"/>
      </c:lineChart>
      <c:catAx>
        <c:axId val="85765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44639"/>
        <c:crosses val="autoZero"/>
        <c:auto val="1"/>
        <c:lblAlgn val="ctr"/>
        <c:lblOffset val="100"/>
        <c:noMultiLvlLbl val="0"/>
      </c:catAx>
      <c:valAx>
        <c:axId val="857644639"/>
        <c:scaling>
          <c:orientation val="minMax"/>
          <c:min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51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Mineral Tratado Óxidos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Graficas!$AG$24</c:f>
              <c:strCache>
                <c:ptCount val="1"/>
                <c:pt idx="0">
                  <c:v>Oxi Real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Graficas!$AA$25:$AA$36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Graficas!$AG$25:$AG$36</c:f>
              <c:numCache>
                <c:formatCode>#,##0</c:formatCode>
                <c:ptCount val="12"/>
                <c:pt idx="0">
                  <c:v>989</c:v>
                </c:pt>
                <c:pt idx="1">
                  <c:v>664</c:v>
                </c:pt>
                <c:pt idx="2">
                  <c:v>958</c:v>
                </c:pt>
                <c:pt idx="3">
                  <c:v>984</c:v>
                </c:pt>
                <c:pt idx="4">
                  <c:v>863</c:v>
                </c:pt>
                <c:pt idx="5">
                  <c:v>972</c:v>
                </c:pt>
                <c:pt idx="6">
                  <c:v>1039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A-4022-A0E5-D834670E78D3}"/>
            </c:ext>
          </c:extLst>
        </c:ser>
        <c:ser>
          <c:idx val="0"/>
          <c:order val="1"/>
          <c:tx>
            <c:strRef>
              <c:f>Graficas!$AF$24</c:f>
              <c:strCache>
                <c:ptCount val="1"/>
                <c:pt idx="0">
                  <c:v>Oxi Pry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Graficas!$AA$25:$AA$36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Graficas!$AF$25:$AF$36</c:f>
              <c:numCache>
                <c:formatCode>#,##0</c:formatCode>
                <c:ptCount val="12"/>
                <c:pt idx="0">
                  <c:v>958</c:v>
                </c:pt>
                <c:pt idx="1">
                  <c:v>753</c:v>
                </c:pt>
                <c:pt idx="2">
                  <c:v>957</c:v>
                </c:pt>
                <c:pt idx="3">
                  <c:v>929</c:v>
                </c:pt>
                <c:pt idx="4">
                  <c:v>911</c:v>
                </c:pt>
                <c:pt idx="5">
                  <c:v>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CA-4022-A0E5-D834670E78D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57651359"/>
        <c:axId val="857644639"/>
      </c:lineChart>
      <c:catAx>
        <c:axId val="85765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44639"/>
        <c:crosses val="autoZero"/>
        <c:auto val="1"/>
        <c:lblAlgn val="ctr"/>
        <c:lblOffset val="100"/>
        <c:noMultiLvlLbl val="0"/>
      </c:catAx>
      <c:valAx>
        <c:axId val="857644639"/>
        <c:scaling>
          <c:orientation val="minMax"/>
          <c:min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651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bg1"/>
                </a:solidFill>
              </a:rPr>
              <a:t>DISTRIBUCIÓN FACTURACIÓN POR</a:t>
            </a:r>
            <a:r>
              <a:rPr lang="es-PE" b="1" baseline="0">
                <a:solidFill>
                  <a:schemeClr val="bg1"/>
                </a:solidFill>
              </a:rPr>
              <a:t> AREAS </a:t>
            </a:r>
            <a:endParaRPr lang="es-PE" b="1">
              <a:solidFill>
                <a:schemeClr val="bg1"/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'DETALLE ENERGIA Y FACTURA'!$AQ$66:$AQ$71</c:f>
              <c:strCache>
                <c:ptCount val="6"/>
                <c:pt idx="0">
                  <c:v> 79,831.81 </c:v>
                </c:pt>
                <c:pt idx="1">
                  <c:v> 11,272.11 </c:v>
                </c:pt>
                <c:pt idx="2">
                  <c:v> 395,173.91 </c:v>
                </c:pt>
                <c:pt idx="3">
                  <c:v> 1,689,162.94 </c:v>
                </c:pt>
                <c:pt idx="4">
                  <c:v> 568,591.70 </c:v>
                </c:pt>
                <c:pt idx="5">
                  <c:v> 1,651,380.99 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81-486C-ADAF-FF700AE67025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81-486C-ADAF-FF700AE67025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81-486C-ADAF-FF700AE67025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81-486C-ADAF-FF700AE67025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81-486C-ADAF-FF700AE67025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581-486C-ADAF-FF700AE67025}"/>
              </c:ext>
            </c:extLst>
          </c:dPt>
          <c:dLbls>
            <c:dLbl>
              <c:idx val="0"/>
              <c:layout>
                <c:manualLayout>
                  <c:x val="-9.8634295713035919E-2"/>
                  <c:y val="1.294327792359286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81-486C-ADAF-FF700AE6702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'DETALLE ENERGIA Y FACTURA'!$C$66:$C$71</c:f>
              <c:strCache>
                <c:ptCount val="6"/>
                <c:pt idx="0">
                  <c:v>G&amp;A</c:v>
                </c:pt>
                <c:pt idx="1">
                  <c:v>MANTENIMIENTO</c:v>
                </c:pt>
                <c:pt idx="2">
                  <c:v>MINA</c:v>
                </c:pt>
                <c:pt idx="3">
                  <c:v>SULFUROS</c:v>
                </c:pt>
                <c:pt idx="4">
                  <c:v>INFRAESTRUCTURA</c:v>
                </c:pt>
                <c:pt idx="5">
                  <c:v>OXIDOS</c:v>
                </c:pt>
              </c:strCache>
            </c:strRef>
          </c:cat>
          <c:val>
            <c:numRef>
              <c:f>'DETALLE ENERGIA Y FACTURA'!$AD$66:$AD$71</c:f>
              <c:numCache>
                <c:formatCode>_(* #,##0.00_);_(* \(#,##0.00\);_(* "-"??_);_(@_)</c:formatCode>
                <c:ptCount val="6"/>
                <c:pt idx="0">
                  <c:v>425621.90964287537</c:v>
                </c:pt>
                <c:pt idx="1">
                  <c:v>61322.526855295386</c:v>
                </c:pt>
                <c:pt idx="2">
                  <c:v>2418379.145841009</c:v>
                </c:pt>
                <c:pt idx="3">
                  <c:v>10589319.042809421</c:v>
                </c:pt>
                <c:pt idx="4">
                  <c:v>2982399.6681884383</c:v>
                </c:pt>
                <c:pt idx="5">
                  <c:v>7169174.825120395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81-486C-ADAF-FF700AE67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en-US" sz="7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DISTRIBUCIÓN ENERGIA POR AREAS</a:t>
            </a:r>
          </a:p>
        </c:rich>
      </c:tx>
      <c:overlay val="0"/>
      <c:spPr>
        <a:solidFill>
          <a:schemeClr val="accent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'DETALLE ENERGIA Y FACTURA'!$AD$1</c:f>
              <c:strCache>
                <c:ptCount val="1"/>
                <c:pt idx="0">
                  <c:v>TOTAL-22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CC-4A95-B4C7-0340544538B5}"/>
              </c:ext>
            </c:extLst>
          </c:dPt>
          <c:dPt>
            <c:idx val="1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FEC-4F45-A8D5-BC380D2933F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FEC-4F45-A8D5-BC380D2933F1}"/>
              </c:ext>
            </c:extLst>
          </c:dPt>
          <c:dPt>
            <c:idx val="3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FEC-4F45-A8D5-BC380D2933F1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FEC-4F45-A8D5-BC380D2933F1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FEC-4F45-A8D5-BC380D2933F1}"/>
              </c:ext>
            </c:extLst>
          </c:dPt>
          <c:dLbls>
            <c:dLbl>
              <c:idx val="5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2FEC-4F45-A8D5-BC380D2933F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FACTURA'!$C$2:$C$31</c15:sqref>
                  </c15:fullRef>
                </c:ext>
              </c:extLst>
              <c:f>('DETALLE ENERGIA Y FACTURA'!$C$2,'DETALLE ENERGIA Y FACTURA'!$C$10,'DETALLE ENERGIA Y FACTURA'!$C$13,'DETALLE ENERGIA Y FACTURA'!$C$19,'DETALLE ENERGIA Y FACTURA'!$C$28,'DETALLE ENERGIA Y FACTURA'!$C$31)</c:f>
              <c:strCache>
                <c:ptCount val="6"/>
                <c:pt idx="0">
                  <c:v>G&amp;A </c:v>
                </c:pt>
                <c:pt idx="1">
                  <c:v>MANTENIMIENTO</c:v>
                </c:pt>
                <c:pt idx="2">
                  <c:v>MINA</c:v>
                </c:pt>
                <c:pt idx="3">
                  <c:v> SULFUROS</c:v>
                </c:pt>
                <c:pt idx="4">
                  <c:v>INFRAESTRUCTURA</c:v>
                </c:pt>
                <c:pt idx="5">
                  <c:v>OXIDOS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FACTURA'!$AD$2:$AD$31</c15:sqref>
                  </c15:fullRef>
                </c:ext>
              </c:extLst>
              <c:f>('DETALLE ENERGIA Y FACTURA'!$AD$2,'DETALLE ENERGIA Y FACTURA'!$AD$10,'DETALLE ENERGIA Y FACTURA'!$AD$13,'DETALLE ENERGIA Y FACTURA'!$AD$19,'DETALLE ENERGIA Y FACTURA'!$AD$28,'DETALLE ENERGIA Y FACTURA'!$AD$31)</c:f>
              <c:numCache>
                <c:formatCode>_(* #,##0.00_);_(* \(#,##0.00\);_(* "-"??_);_(@_)</c:formatCode>
                <c:ptCount val="6"/>
                <c:pt idx="0">
                  <c:v>6181135.0138138095</c:v>
                </c:pt>
                <c:pt idx="1">
                  <c:v>891664.66660042061</c:v>
                </c:pt>
                <c:pt idx="2">
                  <c:v>35208895.674020968</c:v>
                </c:pt>
                <c:pt idx="3">
                  <c:v>153973772.69287878</c:v>
                </c:pt>
                <c:pt idx="4">
                  <c:v>43382725.237396702</c:v>
                </c:pt>
                <c:pt idx="5">
                  <c:v>104290825.78469123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'DETALLE ENERGIA Y FACTURA'!$AD$3</c15:sqref>
                  <c15:spPr xmlns:c15="http://schemas.microsoft.com/office/drawing/2012/chart">
                    <a:solidFill>
                      <a:schemeClr val="accent2">
                        <a:shade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FACTURA'!$AD$4</c15:sqref>
                  <c15:spPr xmlns:c15="http://schemas.microsoft.com/office/drawing/2012/chart">
                    <a:solidFill>
                      <a:schemeClr val="accent2">
                        <a:shade val="9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FACTURA'!$AD$5</c15:sqref>
                  <c15:spPr xmlns:c15="http://schemas.microsoft.com/office/drawing/2012/chart">
                    <a:solidFill>
                      <a:schemeClr val="accent2">
                        <a:tint val="9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FACTURA'!$AD$6</c15:sqref>
                  <c15:spPr xmlns:c15="http://schemas.microsoft.com/office/drawing/2012/chart">
                    <a:solidFill>
                      <a:schemeClr val="accent2">
                        <a:tint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FACTURA'!$AD$7</c15:sqref>
                  <c15:spPr xmlns:c15="http://schemas.microsoft.com/office/drawing/2012/chart">
                    <a:solidFill>
                      <a:schemeClr val="accent2">
                        <a:tint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FACTURA'!$AD$8</c15:sqref>
                  <c15:spPr xmlns:c15="http://schemas.microsoft.com/office/drawing/2012/chart">
                    <a:solidFill>
                      <a:schemeClr val="accent2">
                        <a:tint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FACTURA'!$AD$9</c15:sqref>
                  <c15:spPr xmlns:c15="http://schemas.microsoft.com/office/drawing/2012/chart">
                    <a:solidFill>
                      <a:schemeClr val="accent2">
                        <a:tint val="1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FACTURA'!$AD$11</c15:sqref>
                  <c15:spPr xmlns:c15="http://schemas.microsoft.com/office/drawing/2012/chart">
                    <a:solidFill>
                      <a:schemeClr val="accent2">
                        <a:tint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FACTURA'!$AD$12</c15:sqref>
                  <c15:spPr xmlns:c15="http://schemas.microsoft.com/office/drawing/2012/chart">
                    <a:solidFill>
                      <a:schemeClr val="accent2">
                        <a:tint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FACTURA'!$AD$14</c15:sqref>
                  <c15:spPr xmlns:c15="http://schemas.microsoft.com/office/drawing/2012/chart">
                    <a:solidFill>
                      <a:schemeClr val="accent2">
                        <a:tint val="1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FACTURA'!$AD$15</c15:sqref>
                  <c15:spPr xmlns:c15="http://schemas.microsoft.com/office/drawing/2012/chart">
                    <a:solidFill>
                      <a:schemeClr val="accent2">
                        <a:tint val="9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FACTURA'!$AD$16</c15:sqref>
                  <c15:spPr xmlns:c15="http://schemas.microsoft.com/office/drawing/2012/chart">
                    <a:solidFill>
                      <a:schemeClr val="accent2">
                        <a:tint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FACTURA'!$AD$17</c15:sqref>
                  <c15:spPr xmlns:c15="http://schemas.microsoft.com/office/drawing/2012/chart">
                    <a:solidFill>
                      <a:schemeClr val="accent2">
                        <a:tint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FACTURA'!$AD$18</c15:sqref>
                  <c15:spPr xmlns:c15="http://schemas.microsoft.com/office/drawing/2012/chart">
                    <a:solidFill>
                      <a:schemeClr val="accent2">
                        <a:tint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FACTURA'!$AD$20</c15:sqref>
                  <c15:spPr xmlns:c15="http://schemas.microsoft.com/office/drawing/2012/chart">
                    <a:solidFill>
                      <a:schemeClr val="accent2">
                        <a:tint val="9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FACTURA'!$AD$21</c15:sqref>
                  <c15:spPr xmlns:c15="http://schemas.microsoft.com/office/drawing/2012/chart">
                    <a:solidFill>
                      <a:schemeClr val="accent2">
                        <a:tint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FACTURA'!$AD$22</c15:sqref>
                  <c15:spPr xmlns:c15="http://schemas.microsoft.com/office/drawing/2012/chart">
                    <a:solidFill>
                      <a:schemeClr val="accent2">
                        <a:tint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FACTURA'!$AD$23</c15:sqref>
                  <c15:spPr xmlns:c15="http://schemas.microsoft.com/office/drawing/2012/chart">
                    <a:solidFill>
                      <a:schemeClr val="accent2">
                        <a:tint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FACTURA'!$AD$24</c15:sqref>
                  <c15:spPr xmlns:c15="http://schemas.microsoft.com/office/drawing/2012/chart">
                    <a:solidFill>
                      <a:schemeClr val="accent2">
                        <a:tint val="1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FACTURA'!$AD$25</c15:sqref>
                  <c15:spPr xmlns:c15="http://schemas.microsoft.com/office/drawing/2012/chart">
                    <a:solidFill>
                      <a:schemeClr val="accent2">
                        <a:tint val="9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FACTURA'!$AD$26</c15:sqref>
                  <c15:spPr xmlns:c15="http://schemas.microsoft.com/office/drawing/2012/chart">
                    <a:solidFill>
                      <a:schemeClr val="accent2">
                        <a:tint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FACTURA'!$AD$27</c15:sqref>
                  <c15:spPr xmlns:c15="http://schemas.microsoft.com/office/drawing/2012/chart">
                    <a:solidFill>
                      <a:schemeClr val="accent2">
                        <a:tint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FACTURA'!$AD$29</c15:sqref>
                  <c15:spPr xmlns:c15="http://schemas.microsoft.com/office/drawing/2012/chart">
                    <a:solidFill>
                      <a:schemeClr val="accent2">
                        <a:tint val="1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'DETALLE ENERGIA Y FACTURA'!$AD$30</c15:sqref>
                  <c15:spPr xmlns:c15="http://schemas.microsoft.com/office/drawing/2012/chart">
                    <a:solidFill>
                      <a:schemeClr val="accent2">
                        <a:tint val="9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E-6CCC-4A95-B4C7-034054453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chemeClr val="bg1"/>
                </a:solidFill>
              </a:rPr>
              <a:t>CONSUMO ENERGIA POR AREAS</a:t>
            </a: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'DETALLE ENERGIA Y FACTURA'!$C$2:$D$2</c:f>
              <c:strCache>
                <c:ptCount val="2"/>
                <c:pt idx="0">
                  <c:v>G&amp;A 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innerShdw blurRad="114300">
                <a:schemeClr val="accent2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FACTURA'!$E$1:$AQ$1</c15:sqref>
                  </c15:fullRef>
                </c:ext>
              </c:extLst>
              <c:f>('DETALLE ENERGIA Y FACTURA'!$S$1:$AC$1,'DETALLE ENERGIA Y FACTURA'!$AE$1:$AF$1,'DETALLE ENERGIA Y FACTURA'!$AH$1:$AQ$1)</c:f>
              <c:strCache>
                <c:ptCount val="23"/>
                <c:pt idx="0">
                  <c:v>feb-22</c:v>
                </c:pt>
                <c:pt idx="1">
                  <c:v>mar-22</c:v>
                </c:pt>
                <c:pt idx="2">
                  <c:v>abr-22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ago-22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dic-22</c:v>
                </c:pt>
                <c:pt idx="11">
                  <c:v>ene-23</c:v>
                </c:pt>
                <c:pt idx="12">
                  <c:v>feb-23</c:v>
                </c:pt>
                <c:pt idx="13">
                  <c:v>abr-23</c:v>
                </c:pt>
                <c:pt idx="14">
                  <c:v>may-23</c:v>
                </c:pt>
                <c:pt idx="15">
                  <c:v>jun-23</c:v>
                </c:pt>
                <c:pt idx="16">
                  <c:v>jul-23</c:v>
                </c:pt>
                <c:pt idx="17">
                  <c:v>ago-23</c:v>
                </c:pt>
                <c:pt idx="18">
                  <c:v>sep-23</c:v>
                </c:pt>
                <c:pt idx="19">
                  <c:v>oct-23</c:v>
                </c:pt>
                <c:pt idx="20">
                  <c:v>nov-23</c:v>
                </c:pt>
                <c:pt idx="21">
                  <c:v>dic-23</c:v>
                </c:pt>
                <c:pt idx="22">
                  <c:v>TOTAL-23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FACTURA'!$E$2:$AQ$2</c15:sqref>
                  </c15:fullRef>
                </c:ext>
              </c:extLst>
              <c:f>('DETALLE ENERGIA Y FACTURA'!$S$2:$AC$2,'DETALLE ENERGIA Y FACTURA'!$AE$2:$AF$2,'DETALLE ENERGIA Y FACTURA'!$AH$2:$AQ$2)</c:f>
              <c:numCache>
                <c:formatCode>_(* #,##0.00_);_(* \(#,##0.00\);_(* "-"??_);_(@_)</c:formatCode>
                <c:ptCount val="23"/>
                <c:pt idx="0">
                  <c:v>470237.24429930211</c:v>
                </c:pt>
                <c:pt idx="1">
                  <c:v>520189.49487309111</c:v>
                </c:pt>
                <c:pt idx="2">
                  <c:v>499512.68931917031</c:v>
                </c:pt>
                <c:pt idx="3">
                  <c:v>508752.84568531113</c:v>
                </c:pt>
                <c:pt idx="4">
                  <c:v>485176.37474148057</c:v>
                </c:pt>
                <c:pt idx="5">
                  <c:v>511823.85544046346</c:v>
                </c:pt>
                <c:pt idx="6">
                  <c:v>533833.22092198348</c:v>
                </c:pt>
                <c:pt idx="7">
                  <c:v>526463.81340415869</c:v>
                </c:pt>
                <c:pt idx="8">
                  <c:v>548716.41563182196</c:v>
                </c:pt>
                <c:pt idx="9">
                  <c:v>535978.25871467905</c:v>
                </c:pt>
                <c:pt idx="10">
                  <c:v>544120.59000000008</c:v>
                </c:pt>
                <c:pt idx="11">
                  <c:v>543346.11340828147</c:v>
                </c:pt>
                <c:pt idx="12">
                  <c:v>517090.9448404141</c:v>
                </c:pt>
                <c:pt idx="13">
                  <c:v>834807.40671878413</c:v>
                </c:pt>
                <c:pt idx="14">
                  <c:v>549526.73674276564</c:v>
                </c:pt>
                <c:pt idx="15">
                  <c:v>508026.77137808769</c:v>
                </c:pt>
                <c:pt idx="16">
                  <c:v>535495.30650499719</c:v>
                </c:pt>
                <c:pt idx="17">
                  <c:v>556495.71903670975</c:v>
                </c:pt>
                <c:pt idx="18">
                  <c:v>530488.42000000004</c:v>
                </c:pt>
                <c:pt idx="19">
                  <c:v>549600.01</c:v>
                </c:pt>
                <c:pt idx="20">
                  <c:v>530245.90000000014</c:v>
                </c:pt>
                <c:pt idx="21">
                  <c:v>565541.40999999992</c:v>
                </c:pt>
                <c:pt idx="22">
                  <c:v>6808766.6814484624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4-4A54-A1FF-D089EDBB84E2}"/>
            </c:ext>
          </c:extLst>
        </c:ser>
        <c:ser>
          <c:idx val="8"/>
          <c:order val="1"/>
          <c:tx>
            <c:strRef>
              <c:f>'DETALLE ENERGIA Y FACTURA'!$C$10:$D$10</c:f>
              <c:strCache>
                <c:ptCount val="2"/>
                <c:pt idx="0">
                  <c:v>MANTENIMIENTO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  <a:alpha val="74000"/>
              </a:schemeClr>
            </a:solidFill>
            <a:ln>
              <a:noFill/>
            </a:ln>
            <a:effectLst>
              <a:innerShdw blurRad="114300">
                <a:schemeClr val="accent6">
                  <a:lumMod val="80000"/>
                  <a:lumOff val="20000"/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80000"/>
                        <a:lumOff val="20000"/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FACTURA'!$E$1:$AQ$1</c15:sqref>
                  </c15:fullRef>
                </c:ext>
              </c:extLst>
              <c:f>('DETALLE ENERGIA Y FACTURA'!$S$1:$AC$1,'DETALLE ENERGIA Y FACTURA'!$AE$1:$AF$1,'DETALLE ENERGIA Y FACTURA'!$AH$1:$AQ$1)</c:f>
              <c:strCache>
                <c:ptCount val="23"/>
                <c:pt idx="0">
                  <c:v>feb-22</c:v>
                </c:pt>
                <c:pt idx="1">
                  <c:v>mar-22</c:v>
                </c:pt>
                <c:pt idx="2">
                  <c:v>abr-22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ago-22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dic-22</c:v>
                </c:pt>
                <c:pt idx="11">
                  <c:v>ene-23</c:v>
                </c:pt>
                <c:pt idx="12">
                  <c:v>feb-23</c:v>
                </c:pt>
                <c:pt idx="13">
                  <c:v>abr-23</c:v>
                </c:pt>
                <c:pt idx="14">
                  <c:v>may-23</c:v>
                </c:pt>
                <c:pt idx="15">
                  <c:v>jun-23</c:v>
                </c:pt>
                <c:pt idx="16">
                  <c:v>jul-23</c:v>
                </c:pt>
                <c:pt idx="17">
                  <c:v>ago-23</c:v>
                </c:pt>
                <c:pt idx="18">
                  <c:v>sep-23</c:v>
                </c:pt>
                <c:pt idx="19">
                  <c:v>oct-23</c:v>
                </c:pt>
                <c:pt idx="20">
                  <c:v>nov-23</c:v>
                </c:pt>
                <c:pt idx="21">
                  <c:v>dic-23</c:v>
                </c:pt>
                <c:pt idx="22">
                  <c:v>TOTAL-23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FACTURA'!$E$10:$AQ$10</c15:sqref>
                  </c15:fullRef>
                </c:ext>
              </c:extLst>
              <c:f>('DETALLE ENERGIA Y FACTURA'!$S$10:$AC$10,'DETALLE ENERGIA Y FACTURA'!$AE$10:$AF$10,'DETALLE ENERGIA Y FACTURA'!$AH$10:$AQ$10)</c:f>
              <c:numCache>
                <c:formatCode>_(* #,##0.00_);_(* \(#,##0.00\);_(* "-"??_);_(@_)</c:formatCode>
                <c:ptCount val="23"/>
                <c:pt idx="0">
                  <c:v>66023.881864594514</c:v>
                </c:pt>
                <c:pt idx="1">
                  <c:v>72545.388987023616</c:v>
                </c:pt>
                <c:pt idx="2">
                  <c:v>76041.738167507283</c:v>
                </c:pt>
                <c:pt idx="3">
                  <c:v>76728.679516971562</c:v>
                </c:pt>
                <c:pt idx="4">
                  <c:v>73401.197505097807</c:v>
                </c:pt>
                <c:pt idx="5">
                  <c:v>75380.345272354345</c:v>
                </c:pt>
                <c:pt idx="6">
                  <c:v>74869.140436359638</c:v>
                </c:pt>
                <c:pt idx="7">
                  <c:v>74635.43439058002</c:v>
                </c:pt>
                <c:pt idx="8">
                  <c:v>78331.173880709917</c:v>
                </c:pt>
                <c:pt idx="9">
                  <c:v>75006.353757646517</c:v>
                </c:pt>
                <c:pt idx="10">
                  <c:v>74867.39</c:v>
                </c:pt>
                <c:pt idx="11">
                  <c:v>77800.358211197003</c:v>
                </c:pt>
                <c:pt idx="12">
                  <c:v>71957.232940985661</c:v>
                </c:pt>
                <c:pt idx="13">
                  <c:v>72640.717824394465</c:v>
                </c:pt>
                <c:pt idx="14">
                  <c:v>84891.132887055719</c:v>
                </c:pt>
                <c:pt idx="15">
                  <c:v>78003.883969725532</c:v>
                </c:pt>
                <c:pt idx="16">
                  <c:v>83541.164865152386</c:v>
                </c:pt>
                <c:pt idx="17">
                  <c:v>81590.714777544068</c:v>
                </c:pt>
                <c:pt idx="18">
                  <c:v>77895.340000000011</c:v>
                </c:pt>
                <c:pt idx="19">
                  <c:v>79968.830000000016</c:v>
                </c:pt>
                <c:pt idx="20">
                  <c:v>78877.909999999989</c:v>
                </c:pt>
                <c:pt idx="21">
                  <c:v>79596.680000000008</c:v>
                </c:pt>
                <c:pt idx="22">
                  <c:v>952202.99096109834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4-4A54-A1FF-D089EDBB84E2}"/>
            </c:ext>
          </c:extLst>
        </c:ser>
        <c:ser>
          <c:idx val="11"/>
          <c:order val="2"/>
          <c:tx>
            <c:strRef>
              <c:f>'DETALLE ENERGIA Y FACTURA'!$C$13:$D$13</c:f>
              <c:strCache>
                <c:ptCount val="2"/>
                <c:pt idx="0">
                  <c:v>MINA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>
              <a:innerShdw blurRad="114300">
                <a:schemeClr val="accent6">
                  <a:lumMod val="80000"/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80000"/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FACTURA'!$E$1:$AQ$1</c15:sqref>
                  </c15:fullRef>
                </c:ext>
              </c:extLst>
              <c:f>('DETALLE ENERGIA Y FACTURA'!$S$1:$AC$1,'DETALLE ENERGIA Y FACTURA'!$AE$1:$AF$1,'DETALLE ENERGIA Y FACTURA'!$AH$1:$AQ$1)</c:f>
              <c:strCache>
                <c:ptCount val="23"/>
                <c:pt idx="0">
                  <c:v>feb-22</c:v>
                </c:pt>
                <c:pt idx="1">
                  <c:v>mar-22</c:v>
                </c:pt>
                <c:pt idx="2">
                  <c:v>abr-22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ago-22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dic-22</c:v>
                </c:pt>
                <c:pt idx="11">
                  <c:v>ene-23</c:v>
                </c:pt>
                <c:pt idx="12">
                  <c:v>feb-23</c:v>
                </c:pt>
                <c:pt idx="13">
                  <c:v>abr-23</c:v>
                </c:pt>
                <c:pt idx="14">
                  <c:v>may-23</c:v>
                </c:pt>
                <c:pt idx="15">
                  <c:v>jun-23</c:v>
                </c:pt>
                <c:pt idx="16">
                  <c:v>jul-23</c:v>
                </c:pt>
                <c:pt idx="17">
                  <c:v>ago-23</c:v>
                </c:pt>
                <c:pt idx="18">
                  <c:v>sep-23</c:v>
                </c:pt>
                <c:pt idx="19">
                  <c:v>oct-23</c:v>
                </c:pt>
                <c:pt idx="20">
                  <c:v>nov-23</c:v>
                </c:pt>
                <c:pt idx="21">
                  <c:v>dic-23</c:v>
                </c:pt>
                <c:pt idx="22">
                  <c:v>TOTAL-23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FACTURA'!$E$13:$AQ$13</c15:sqref>
                  </c15:fullRef>
                </c:ext>
              </c:extLst>
              <c:f>('DETALLE ENERGIA Y FACTURA'!$S$13:$AC$13,'DETALLE ENERGIA Y FACTURA'!$AE$13:$AF$13,'DETALLE ENERGIA Y FACTURA'!$AH$13:$AQ$13)</c:f>
              <c:numCache>
                <c:formatCode>_(* #,##0.00_);_(* \(#,##0.00\);_(* "-"??_);_(@_)</c:formatCode>
                <c:ptCount val="23"/>
                <c:pt idx="0">
                  <c:v>2556635.4566641427</c:v>
                </c:pt>
                <c:pt idx="1">
                  <c:v>3123646.9789902177</c:v>
                </c:pt>
                <c:pt idx="2">
                  <c:v>3175170.4654921843</c:v>
                </c:pt>
                <c:pt idx="3">
                  <c:v>3216182.7529083584</c:v>
                </c:pt>
                <c:pt idx="4">
                  <c:v>2794760.6855900865</c:v>
                </c:pt>
                <c:pt idx="5">
                  <c:v>3073085.4592021923</c:v>
                </c:pt>
                <c:pt idx="6">
                  <c:v>3005132.6261921427</c:v>
                </c:pt>
                <c:pt idx="7">
                  <c:v>2817845.636656879</c:v>
                </c:pt>
                <c:pt idx="8">
                  <c:v>3241930.801380598</c:v>
                </c:pt>
                <c:pt idx="9">
                  <c:v>2794956.7969379839</c:v>
                </c:pt>
                <c:pt idx="10">
                  <c:v>2843826.6</c:v>
                </c:pt>
                <c:pt idx="11">
                  <c:v>2538119.6494792192</c:v>
                </c:pt>
                <c:pt idx="12">
                  <c:v>2707513.0472079208</c:v>
                </c:pt>
                <c:pt idx="13">
                  <c:v>2688798.6107235393</c:v>
                </c:pt>
                <c:pt idx="14">
                  <c:v>3400269.511928176</c:v>
                </c:pt>
                <c:pt idx="15">
                  <c:v>3230881.5656998334</c:v>
                </c:pt>
                <c:pt idx="16">
                  <c:v>3454926.2745723068</c:v>
                </c:pt>
                <c:pt idx="17">
                  <c:v>3441660.9824601803</c:v>
                </c:pt>
                <c:pt idx="18">
                  <c:v>3394176.97</c:v>
                </c:pt>
                <c:pt idx="19">
                  <c:v>3449752.0200000005</c:v>
                </c:pt>
                <c:pt idx="20">
                  <c:v>3480030.37</c:v>
                </c:pt>
                <c:pt idx="21">
                  <c:v>3378491.7600000002</c:v>
                </c:pt>
                <c:pt idx="22">
                  <c:v>38293833.721398503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B4-4A54-A1FF-D089EDBB84E2}"/>
            </c:ext>
          </c:extLst>
        </c:ser>
        <c:ser>
          <c:idx val="17"/>
          <c:order val="3"/>
          <c:tx>
            <c:strRef>
              <c:f>'DETALLE ENERGIA Y FACTURA'!$C$19:$D$19</c:f>
              <c:strCache>
                <c:ptCount val="2"/>
                <c:pt idx="0">
                  <c:v> SULFUROS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>
              <a:innerShdw blurRad="114300">
                <a:schemeClr val="accent6">
                  <a:lumMod val="50000"/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50000"/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FACTURA'!$E$1:$AQ$1</c15:sqref>
                  </c15:fullRef>
                </c:ext>
              </c:extLst>
              <c:f>('DETALLE ENERGIA Y FACTURA'!$S$1:$AC$1,'DETALLE ENERGIA Y FACTURA'!$AE$1:$AF$1,'DETALLE ENERGIA Y FACTURA'!$AH$1:$AQ$1)</c:f>
              <c:strCache>
                <c:ptCount val="23"/>
                <c:pt idx="0">
                  <c:v>feb-22</c:v>
                </c:pt>
                <c:pt idx="1">
                  <c:v>mar-22</c:v>
                </c:pt>
                <c:pt idx="2">
                  <c:v>abr-22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ago-22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dic-22</c:v>
                </c:pt>
                <c:pt idx="11">
                  <c:v>ene-23</c:v>
                </c:pt>
                <c:pt idx="12">
                  <c:v>feb-23</c:v>
                </c:pt>
                <c:pt idx="13">
                  <c:v>abr-23</c:v>
                </c:pt>
                <c:pt idx="14">
                  <c:v>may-23</c:v>
                </c:pt>
                <c:pt idx="15">
                  <c:v>jun-23</c:v>
                </c:pt>
                <c:pt idx="16">
                  <c:v>jul-23</c:v>
                </c:pt>
                <c:pt idx="17">
                  <c:v>ago-23</c:v>
                </c:pt>
                <c:pt idx="18">
                  <c:v>sep-23</c:v>
                </c:pt>
                <c:pt idx="19">
                  <c:v>oct-23</c:v>
                </c:pt>
                <c:pt idx="20">
                  <c:v>nov-23</c:v>
                </c:pt>
                <c:pt idx="21">
                  <c:v>dic-23</c:v>
                </c:pt>
                <c:pt idx="22">
                  <c:v>TOTAL-23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FACTURA'!$E$19:$AQ$19</c15:sqref>
                  </c15:fullRef>
                </c:ext>
              </c:extLst>
              <c:f>('DETALLE ENERGIA Y FACTURA'!$S$19:$AC$19,'DETALLE ENERGIA Y FACTURA'!$AE$19:$AF$19,'DETALLE ENERGIA Y FACTURA'!$AH$19:$AQ$19)</c:f>
              <c:numCache>
                <c:formatCode>_(* #,##0.00_);_(* \(#,##0.00\);_(* "-"??_);_(@_)</c:formatCode>
                <c:ptCount val="23"/>
                <c:pt idx="0">
                  <c:v>11196816.988749679</c:v>
                </c:pt>
                <c:pt idx="1">
                  <c:v>12536847.350772412</c:v>
                </c:pt>
                <c:pt idx="2">
                  <c:v>13503842.155078158</c:v>
                </c:pt>
                <c:pt idx="3">
                  <c:v>12531316.812205352</c:v>
                </c:pt>
                <c:pt idx="4">
                  <c:v>13648844.768309535</c:v>
                </c:pt>
                <c:pt idx="5">
                  <c:v>11893971.590312019</c:v>
                </c:pt>
                <c:pt idx="6">
                  <c:v>13633959.76754904</c:v>
                </c:pt>
                <c:pt idx="7">
                  <c:v>13460476.155782975</c:v>
                </c:pt>
                <c:pt idx="8">
                  <c:v>13181006.472531471</c:v>
                </c:pt>
                <c:pt idx="9">
                  <c:v>11229951.179313134</c:v>
                </c:pt>
                <c:pt idx="10">
                  <c:v>13592290.949999997</c:v>
                </c:pt>
                <c:pt idx="11">
                  <c:v>11015153.954186227</c:v>
                </c:pt>
                <c:pt idx="12">
                  <c:v>11411160.544998983</c:v>
                </c:pt>
                <c:pt idx="13">
                  <c:v>11061896.742056429</c:v>
                </c:pt>
                <c:pt idx="14">
                  <c:v>12685810.301568864</c:v>
                </c:pt>
                <c:pt idx="15">
                  <c:v>11216845.727118293</c:v>
                </c:pt>
                <c:pt idx="16">
                  <c:v>12449552.200182589</c:v>
                </c:pt>
                <c:pt idx="17">
                  <c:v>10907250.45722118</c:v>
                </c:pt>
                <c:pt idx="18">
                  <c:v>12096019.356623011</c:v>
                </c:pt>
                <c:pt idx="19">
                  <c:v>11466564.7320008</c:v>
                </c:pt>
                <c:pt idx="20">
                  <c:v>10002954.441131933</c:v>
                </c:pt>
                <c:pt idx="21">
                  <c:v>12315443.64052413</c:v>
                </c:pt>
                <c:pt idx="22">
                  <c:v>139662028.06154197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B4-4A54-A1FF-D089EDBB84E2}"/>
            </c:ext>
          </c:extLst>
        </c:ser>
        <c:ser>
          <c:idx val="26"/>
          <c:order val="4"/>
          <c:tx>
            <c:strRef>
              <c:f>'DETALLE ENERGIA Y FACTURA'!$C$28:$D$28</c:f>
              <c:strCache>
                <c:ptCount val="2"/>
                <c:pt idx="0">
                  <c:v>INFRAESTRUCTURA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rgbClr val="00B0F0"/>
              </a:solidFill>
            </a:ln>
            <a:effectLst>
              <a:innerShdw blurRad="114300">
                <a:schemeClr val="accent6">
                  <a:lumMod val="50000"/>
                  <a:lumOff val="50000"/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50000"/>
                        <a:lumOff val="50000"/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FACTURA'!$E$1:$AQ$1</c15:sqref>
                  </c15:fullRef>
                </c:ext>
              </c:extLst>
              <c:f>('DETALLE ENERGIA Y FACTURA'!$S$1:$AC$1,'DETALLE ENERGIA Y FACTURA'!$AE$1:$AF$1,'DETALLE ENERGIA Y FACTURA'!$AH$1:$AQ$1)</c:f>
              <c:strCache>
                <c:ptCount val="23"/>
                <c:pt idx="0">
                  <c:v>feb-22</c:v>
                </c:pt>
                <c:pt idx="1">
                  <c:v>mar-22</c:v>
                </c:pt>
                <c:pt idx="2">
                  <c:v>abr-22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ago-22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dic-22</c:v>
                </c:pt>
                <c:pt idx="11">
                  <c:v>ene-23</c:v>
                </c:pt>
                <c:pt idx="12">
                  <c:v>feb-23</c:v>
                </c:pt>
                <c:pt idx="13">
                  <c:v>abr-23</c:v>
                </c:pt>
                <c:pt idx="14">
                  <c:v>may-23</c:v>
                </c:pt>
                <c:pt idx="15">
                  <c:v>jun-23</c:v>
                </c:pt>
                <c:pt idx="16">
                  <c:v>jul-23</c:v>
                </c:pt>
                <c:pt idx="17">
                  <c:v>ago-23</c:v>
                </c:pt>
                <c:pt idx="18">
                  <c:v>sep-23</c:v>
                </c:pt>
                <c:pt idx="19">
                  <c:v>oct-23</c:v>
                </c:pt>
                <c:pt idx="20">
                  <c:v>nov-23</c:v>
                </c:pt>
                <c:pt idx="21">
                  <c:v>dic-23</c:v>
                </c:pt>
                <c:pt idx="22">
                  <c:v>TOTAL-23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FACTURA'!$E$28:$AQ$28</c15:sqref>
                  </c15:fullRef>
                </c:ext>
              </c:extLst>
              <c:f>('DETALLE ENERGIA Y FACTURA'!$S$28:$AC$28,'DETALLE ENERGIA Y FACTURA'!$AE$28:$AF$28,'DETALLE ENERGIA Y FACTURA'!$AH$28:$AQ$28)</c:f>
              <c:numCache>
                <c:formatCode>_(* #,##0.00_);_(* \(#,##0.00\);_(* "-"??_);_(@_)</c:formatCode>
                <c:ptCount val="23"/>
                <c:pt idx="0">
                  <c:v>3020363.380396917</c:v>
                </c:pt>
                <c:pt idx="1">
                  <c:v>3335121.8331492762</c:v>
                </c:pt>
                <c:pt idx="2">
                  <c:v>3659112.5635078847</c:v>
                </c:pt>
                <c:pt idx="3">
                  <c:v>3611308.2198998956</c:v>
                </c:pt>
                <c:pt idx="4">
                  <c:v>3770863.3471870413</c:v>
                </c:pt>
                <c:pt idx="5">
                  <c:v>3466619.9093799712</c:v>
                </c:pt>
                <c:pt idx="6">
                  <c:v>3670241.5351649481</c:v>
                </c:pt>
                <c:pt idx="7">
                  <c:v>3494833.7061800407</c:v>
                </c:pt>
                <c:pt idx="8">
                  <c:v>3616215.6729562301</c:v>
                </c:pt>
                <c:pt idx="9">
                  <c:v>3608578.4768567118</c:v>
                </c:pt>
                <c:pt idx="10">
                  <c:v>4569190.8499999996</c:v>
                </c:pt>
                <c:pt idx="11">
                  <c:v>3852899.7144715274</c:v>
                </c:pt>
                <c:pt idx="12">
                  <c:v>3699519.0577539457</c:v>
                </c:pt>
                <c:pt idx="13">
                  <c:v>4216731.1489186557</c:v>
                </c:pt>
                <c:pt idx="14">
                  <c:v>4146861.0604729494</c:v>
                </c:pt>
                <c:pt idx="15">
                  <c:v>3850837.4929123749</c:v>
                </c:pt>
                <c:pt idx="16">
                  <c:v>4464122.5093212938</c:v>
                </c:pt>
                <c:pt idx="17">
                  <c:v>4410564.3886332903</c:v>
                </c:pt>
                <c:pt idx="18">
                  <c:v>4866569.76</c:v>
                </c:pt>
                <c:pt idx="19">
                  <c:v>4521395.0600000005</c:v>
                </c:pt>
                <c:pt idx="20">
                  <c:v>4060311.8699999987</c:v>
                </c:pt>
                <c:pt idx="21">
                  <c:v>4470521.68</c:v>
                </c:pt>
                <c:pt idx="22">
                  <c:v>51037485.421688043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B4-4A54-A1FF-D089EDBB84E2}"/>
            </c:ext>
          </c:extLst>
        </c:ser>
        <c:ser>
          <c:idx val="29"/>
          <c:order val="5"/>
          <c:tx>
            <c:strRef>
              <c:f>'DETALLE ENERGIA Y FACTURA'!$C$31:$D$31</c:f>
              <c:strCache>
                <c:ptCount val="2"/>
                <c:pt idx="0">
                  <c:v>OXIDOS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innerShdw blurRad="114300">
                <a:schemeClr val="accent6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FACTURA'!$E$1:$AQ$1</c15:sqref>
                  </c15:fullRef>
                </c:ext>
              </c:extLst>
              <c:f>('DETALLE ENERGIA Y FACTURA'!$S$1:$AC$1,'DETALLE ENERGIA Y FACTURA'!$AE$1:$AF$1,'DETALLE ENERGIA Y FACTURA'!$AH$1:$AQ$1)</c:f>
              <c:strCache>
                <c:ptCount val="23"/>
                <c:pt idx="0">
                  <c:v>feb-22</c:v>
                </c:pt>
                <c:pt idx="1">
                  <c:v>mar-22</c:v>
                </c:pt>
                <c:pt idx="2">
                  <c:v>abr-22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ago-22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dic-22</c:v>
                </c:pt>
                <c:pt idx="11">
                  <c:v>ene-23</c:v>
                </c:pt>
                <c:pt idx="12">
                  <c:v>feb-23</c:v>
                </c:pt>
                <c:pt idx="13">
                  <c:v>abr-23</c:v>
                </c:pt>
                <c:pt idx="14">
                  <c:v>may-23</c:v>
                </c:pt>
                <c:pt idx="15">
                  <c:v>jun-23</c:v>
                </c:pt>
                <c:pt idx="16">
                  <c:v>jul-23</c:v>
                </c:pt>
                <c:pt idx="17">
                  <c:v>ago-23</c:v>
                </c:pt>
                <c:pt idx="18">
                  <c:v>sep-23</c:v>
                </c:pt>
                <c:pt idx="19">
                  <c:v>oct-23</c:v>
                </c:pt>
                <c:pt idx="20">
                  <c:v>nov-23</c:v>
                </c:pt>
                <c:pt idx="21">
                  <c:v>dic-23</c:v>
                </c:pt>
                <c:pt idx="22">
                  <c:v>TOTAL-23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FACTURA'!$E$31:$AQ$31</c15:sqref>
                  </c15:fullRef>
                </c:ext>
              </c:extLst>
              <c:f>('DETALLE ENERGIA Y FACTURA'!$S$31:$AC$31,'DETALLE ENERGIA Y FACTURA'!$AE$31:$AF$31,'DETALLE ENERGIA Y FACTURA'!$AH$31:$AQ$31)</c:f>
              <c:numCache>
                <c:formatCode>_(* #,##0.00_);_(* \(#,##0.00\);_(* "-"??_);_(@_)</c:formatCode>
                <c:ptCount val="23"/>
                <c:pt idx="0">
                  <c:v>6489577.7780058477</c:v>
                </c:pt>
                <c:pt idx="1">
                  <c:v>5720687.6149711404</c:v>
                </c:pt>
                <c:pt idx="2">
                  <c:v>7173288.6691968199</c:v>
                </c:pt>
                <c:pt idx="3">
                  <c:v>8505686.1966810916</c:v>
                </c:pt>
                <c:pt idx="4">
                  <c:v>8347080.4401433244</c:v>
                </c:pt>
                <c:pt idx="5">
                  <c:v>9507665.0186156705</c:v>
                </c:pt>
                <c:pt idx="6">
                  <c:v>8602880.7369328067</c:v>
                </c:pt>
                <c:pt idx="7">
                  <c:v>9726792.7779994365</c:v>
                </c:pt>
                <c:pt idx="8">
                  <c:v>10376650.143794958</c:v>
                </c:pt>
                <c:pt idx="9">
                  <c:v>10808457.9136679</c:v>
                </c:pt>
                <c:pt idx="10">
                  <c:v>11274383.34</c:v>
                </c:pt>
                <c:pt idx="11">
                  <c:v>12256189.429237701</c:v>
                </c:pt>
                <c:pt idx="12">
                  <c:v>9704016.3467420116</c:v>
                </c:pt>
                <c:pt idx="13">
                  <c:v>10642806.862358514</c:v>
                </c:pt>
                <c:pt idx="14">
                  <c:v>10637880.12065801</c:v>
                </c:pt>
                <c:pt idx="15">
                  <c:v>9360100.7952498309</c:v>
                </c:pt>
                <c:pt idx="16">
                  <c:v>12516884.98190403</c:v>
                </c:pt>
                <c:pt idx="17">
                  <c:v>11380104.308433596</c:v>
                </c:pt>
                <c:pt idx="18">
                  <c:v>12842166.393376991</c:v>
                </c:pt>
                <c:pt idx="19">
                  <c:v>11144476.577999199</c:v>
                </c:pt>
                <c:pt idx="20">
                  <c:v>11216538.998868067</c:v>
                </c:pt>
                <c:pt idx="21">
                  <c:v>11927577.599475872</c:v>
                </c:pt>
                <c:pt idx="22">
                  <c:v>135090339.41775823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B4-4A54-A1FF-D089EDBB84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20467440"/>
        <c:axId val="172887072"/>
        <c:extLst/>
      </c:areaChart>
      <c:catAx>
        <c:axId val="22046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887072"/>
        <c:crosses val="autoZero"/>
        <c:auto val="1"/>
        <c:lblAlgn val="ctr"/>
        <c:lblOffset val="100"/>
        <c:noMultiLvlLbl val="1"/>
      </c:catAx>
      <c:valAx>
        <c:axId val="17288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20467440"/>
        <c:crosses val="autoZero"/>
        <c:crossBetween val="midCat"/>
        <c:dispUnits>
          <c:builtInUnit val="millions"/>
          <c:dispUnitsLbl>
            <c:layout>
              <c:manualLayout>
                <c:xMode val="edge"/>
                <c:yMode val="edge"/>
                <c:x val="1.2090682498796584E-2"/>
                <c:y val="0.45063391371853168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s-PE"/>
                    <a:t>Millones kwh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bg1"/>
                </a:solidFill>
              </a:rPr>
              <a:t>COSTOS</a:t>
            </a:r>
            <a:r>
              <a:rPr lang="es-PE" b="1" baseline="0">
                <a:solidFill>
                  <a:schemeClr val="bg1"/>
                </a:solidFill>
              </a:rPr>
              <a:t> FACTURACION POR AREAS</a:t>
            </a:r>
            <a:endParaRPr lang="es-PE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41900427025295456"/>
          <c:y val="2.0143883370616261E-2"/>
        </c:manualLayout>
      </c:layout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'DETALLE ENERGIA Y FACTURA'!$C$65</c:f>
              <c:strCache>
                <c:ptCount val="1"/>
                <c:pt idx="0">
                  <c:v>AREAS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FACTURA'!$E$1:$AQ$1</c15:sqref>
                  </c15:fullRef>
                </c:ext>
              </c:extLst>
              <c:f>('DETALLE ENERGIA Y FACTURA'!$E$1,'DETALLE ENERGIA Y FACTURA'!$T$1:$AD$1,'DETALLE ENERGIA Y FACTURA'!$AF$1:$AQ$1)</c:f>
              <c:strCache>
                <c:ptCount val="24"/>
                <c:pt idx="0">
                  <c:v>ene-21</c:v>
                </c:pt>
                <c:pt idx="1">
                  <c:v>mar-22</c:v>
                </c:pt>
                <c:pt idx="2">
                  <c:v>abr-22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ago-22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dic-22</c:v>
                </c:pt>
                <c:pt idx="11">
                  <c:v>TOTAL-22</c:v>
                </c:pt>
                <c:pt idx="12">
                  <c:v>feb-23</c:v>
                </c:pt>
                <c:pt idx="13">
                  <c:v>mar-23</c:v>
                </c:pt>
                <c:pt idx="14">
                  <c:v>abr-23</c:v>
                </c:pt>
                <c:pt idx="15">
                  <c:v>may-23</c:v>
                </c:pt>
                <c:pt idx="16">
                  <c:v>jun-23</c:v>
                </c:pt>
                <c:pt idx="17">
                  <c:v>jul-23</c:v>
                </c:pt>
                <c:pt idx="18">
                  <c:v>ago-23</c:v>
                </c:pt>
                <c:pt idx="19">
                  <c:v>sep-23</c:v>
                </c:pt>
                <c:pt idx="20">
                  <c:v>oct-23</c:v>
                </c:pt>
                <c:pt idx="21">
                  <c:v>nov-23</c:v>
                </c:pt>
                <c:pt idx="22">
                  <c:v>dic-23</c:v>
                </c:pt>
                <c:pt idx="23">
                  <c:v>TOTAL-23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FACTURA'!$D$65:$AF$65</c15:sqref>
                  </c15:fullRef>
                </c:ext>
              </c:extLst>
              <c:f>('DETALLE ENERGIA Y FACTURA'!$D$65,'DETALLE ENERGIA Y FACTURA'!$S$65:$AC$65,'DETALLE ENERGIA Y FACTURA'!$AE$65:$AF$65)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0-4007-4DE7-B090-0C71E7615B91}"/>
            </c:ext>
          </c:extLst>
        </c:ser>
        <c:ser>
          <c:idx val="1"/>
          <c:order val="1"/>
          <c:tx>
            <c:strRef>
              <c:f>'DETALLE ENERGIA Y FACTURA'!$C$66</c:f>
              <c:strCache>
                <c:ptCount val="1"/>
                <c:pt idx="0">
                  <c:v>G&amp;A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FACTURA'!$E$1:$AQ$1</c15:sqref>
                  </c15:fullRef>
                </c:ext>
              </c:extLst>
              <c:f>('DETALLE ENERGIA Y FACTURA'!$E$1,'DETALLE ENERGIA Y FACTURA'!$T$1:$AD$1,'DETALLE ENERGIA Y FACTURA'!$AF$1:$AQ$1)</c:f>
              <c:strCache>
                <c:ptCount val="24"/>
                <c:pt idx="0">
                  <c:v>ene-21</c:v>
                </c:pt>
                <c:pt idx="1">
                  <c:v>mar-22</c:v>
                </c:pt>
                <c:pt idx="2">
                  <c:v>abr-22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ago-22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dic-22</c:v>
                </c:pt>
                <c:pt idx="11">
                  <c:v>TOTAL-22</c:v>
                </c:pt>
                <c:pt idx="12">
                  <c:v>feb-23</c:v>
                </c:pt>
                <c:pt idx="13">
                  <c:v>mar-23</c:v>
                </c:pt>
                <c:pt idx="14">
                  <c:v>abr-23</c:v>
                </c:pt>
                <c:pt idx="15">
                  <c:v>may-23</c:v>
                </c:pt>
                <c:pt idx="16">
                  <c:v>jun-23</c:v>
                </c:pt>
                <c:pt idx="17">
                  <c:v>jul-23</c:v>
                </c:pt>
                <c:pt idx="18">
                  <c:v>ago-23</c:v>
                </c:pt>
                <c:pt idx="19">
                  <c:v>sep-23</c:v>
                </c:pt>
                <c:pt idx="20">
                  <c:v>oct-23</c:v>
                </c:pt>
                <c:pt idx="21">
                  <c:v>nov-23</c:v>
                </c:pt>
                <c:pt idx="22">
                  <c:v>dic-23</c:v>
                </c:pt>
                <c:pt idx="23">
                  <c:v>TOTAL-23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FACTURA'!$D$66:$AF$66</c15:sqref>
                  </c15:fullRef>
                </c:ext>
              </c:extLst>
              <c:f>('DETALLE ENERGIA Y FACTURA'!$D$66,'DETALLE ENERGIA Y FACTURA'!$S$66:$AC$66,'DETALLE ENERGIA Y FACTURA'!$AE$66:$AF$66)</c:f>
              <c:numCache>
                <c:formatCode>_(* #,##0.00_);_(* \(#,##0.00\);_(* "-"??_);_(@_)</c:formatCode>
                <c:ptCount val="14"/>
                <c:pt idx="1">
                  <c:v>35254.491670652627</c:v>
                </c:pt>
                <c:pt idx="2">
                  <c:v>35929.62535740107</c:v>
                </c:pt>
                <c:pt idx="3">
                  <c:v>34269.500532603146</c:v>
                </c:pt>
                <c:pt idx="4">
                  <c:v>34090.959089814736</c:v>
                </c:pt>
                <c:pt idx="5">
                  <c:v>31716.911588390347</c:v>
                </c:pt>
                <c:pt idx="6">
                  <c:v>27660.206736369026</c:v>
                </c:pt>
                <c:pt idx="7">
                  <c:v>39248.743378979889</c:v>
                </c:pt>
                <c:pt idx="8">
                  <c:v>36446.757481633387</c:v>
                </c:pt>
                <c:pt idx="9">
                  <c:v>38220.914804816675</c:v>
                </c:pt>
                <c:pt idx="10">
                  <c:v>41814.479211418773</c:v>
                </c:pt>
                <c:pt idx="11">
                  <c:v>36302.464430080843</c:v>
                </c:pt>
                <c:pt idx="12">
                  <c:v>40422.150159673998</c:v>
                </c:pt>
                <c:pt idx="13">
                  <c:v>39409.66330396969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7-4DE7-B090-0C71E7615B91}"/>
            </c:ext>
          </c:extLst>
        </c:ser>
        <c:ser>
          <c:idx val="2"/>
          <c:order val="2"/>
          <c:tx>
            <c:strRef>
              <c:f>'DETALLE ENERGIA Y FACTURA'!$C$67</c:f>
              <c:strCache>
                <c:ptCount val="1"/>
                <c:pt idx="0">
                  <c:v>MANTENIMIENTO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FACTURA'!$E$1:$AQ$1</c15:sqref>
                  </c15:fullRef>
                </c:ext>
              </c:extLst>
              <c:f>('DETALLE ENERGIA Y FACTURA'!$E$1,'DETALLE ENERGIA Y FACTURA'!$T$1:$AD$1,'DETALLE ENERGIA Y FACTURA'!$AF$1:$AQ$1)</c:f>
              <c:strCache>
                <c:ptCount val="24"/>
                <c:pt idx="0">
                  <c:v>ene-21</c:v>
                </c:pt>
                <c:pt idx="1">
                  <c:v>mar-22</c:v>
                </c:pt>
                <c:pt idx="2">
                  <c:v>abr-22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ago-22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dic-22</c:v>
                </c:pt>
                <c:pt idx="11">
                  <c:v>TOTAL-22</c:v>
                </c:pt>
                <c:pt idx="12">
                  <c:v>feb-23</c:v>
                </c:pt>
                <c:pt idx="13">
                  <c:v>mar-23</c:v>
                </c:pt>
                <c:pt idx="14">
                  <c:v>abr-23</c:v>
                </c:pt>
                <c:pt idx="15">
                  <c:v>may-23</c:v>
                </c:pt>
                <c:pt idx="16">
                  <c:v>jun-23</c:v>
                </c:pt>
                <c:pt idx="17">
                  <c:v>jul-23</c:v>
                </c:pt>
                <c:pt idx="18">
                  <c:v>ago-23</c:v>
                </c:pt>
                <c:pt idx="19">
                  <c:v>sep-23</c:v>
                </c:pt>
                <c:pt idx="20">
                  <c:v>oct-23</c:v>
                </c:pt>
                <c:pt idx="21">
                  <c:v>nov-23</c:v>
                </c:pt>
                <c:pt idx="22">
                  <c:v>dic-23</c:v>
                </c:pt>
                <c:pt idx="23">
                  <c:v>TOTAL-23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FACTURA'!$D$67:$AF$67</c15:sqref>
                  </c15:fullRef>
                </c:ext>
              </c:extLst>
              <c:f>('DETALLE ENERGIA Y FACTURA'!$D$67,'DETALLE ENERGIA Y FACTURA'!$S$67:$AC$67,'DETALLE ENERGIA Y FACTURA'!$AE$67:$AF$67)</c:f>
              <c:numCache>
                <c:formatCode>_(* #,##0.00_);_(* \(#,##0.00\);_(* "-"??_);_(@_)</c:formatCode>
                <c:ptCount val="14"/>
                <c:pt idx="1">
                  <c:v>4949.9235151564853</c:v>
                </c:pt>
                <c:pt idx="2">
                  <c:v>5010.7291158322878</c:v>
                </c:pt>
                <c:pt idx="3">
                  <c:v>5216.9092844934266</c:v>
                </c:pt>
                <c:pt idx="4">
                  <c:v>5141.5029844305918</c:v>
                </c:pt>
                <c:pt idx="5">
                  <c:v>4798.37727669992</c:v>
                </c:pt>
                <c:pt idx="6">
                  <c:v>4073.7373061633989</c:v>
                </c:pt>
                <c:pt idx="7">
                  <c:v>5504.5650304721903</c:v>
                </c:pt>
                <c:pt idx="8">
                  <c:v>5166.9640106518709</c:v>
                </c:pt>
                <c:pt idx="9">
                  <c:v>5456.1683196748681</c:v>
                </c:pt>
                <c:pt idx="10">
                  <c:v>5851.6396307653749</c:v>
                </c:pt>
                <c:pt idx="11">
                  <c:v>4994.9787094952426</c:v>
                </c:pt>
                <c:pt idx="12">
                  <c:v>5787.9456289150266</c:v>
                </c:pt>
                <c:pt idx="13">
                  <c:v>5484.1616369142885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7-4DE7-B090-0C71E7615B91}"/>
            </c:ext>
          </c:extLst>
        </c:ser>
        <c:ser>
          <c:idx val="3"/>
          <c:order val="3"/>
          <c:tx>
            <c:strRef>
              <c:f>'DETALLE ENERGIA Y FACTURA'!$C$68</c:f>
              <c:strCache>
                <c:ptCount val="1"/>
                <c:pt idx="0">
                  <c:v>MINA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FACTURA'!$E$1:$AQ$1</c15:sqref>
                  </c15:fullRef>
                </c:ext>
              </c:extLst>
              <c:f>('DETALLE ENERGIA Y FACTURA'!$E$1,'DETALLE ENERGIA Y FACTURA'!$T$1:$AD$1,'DETALLE ENERGIA Y FACTURA'!$AF$1:$AQ$1)</c:f>
              <c:strCache>
                <c:ptCount val="24"/>
                <c:pt idx="0">
                  <c:v>ene-21</c:v>
                </c:pt>
                <c:pt idx="1">
                  <c:v>mar-22</c:v>
                </c:pt>
                <c:pt idx="2">
                  <c:v>abr-22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ago-22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dic-22</c:v>
                </c:pt>
                <c:pt idx="11">
                  <c:v>TOTAL-22</c:v>
                </c:pt>
                <c:pt idx="12">
                  <c:v>feb-23</c:v>
                </c:pt>
                <c:pt idx="13">
                  <c:v>mar-23</c:v>
                </c:pt>
                <c:pt idx="14">
                  <c:v>abr-23</c:v>
                </c:pt>
                <c:pt idx="15">
                  <c:v>may-23</c:v>
                </c:pt>
                <c:pt idx="16">
                  <c:v>jun-23</c:v>
                </c:pt>
                <c:pt idx="17">
                  <c:v>jul-23</c:v>
                </c:pt>
                <c:pt idx="18">
                  <c:v>ago-23</c:v>
                </c:pt>
                <c:pt idx="19">
                  <c:v>sep-23</c:v>
                </c:pt>
                <c:pt idx="20">
                  <c:v>oct-23</c:v>
                </c:pt>
                <c:pt idx="21">
                  <c:v>nov-23</c:v>
                </c:pt>
                <c:pt idx="22">
                  <c:v>dic-23</c:v>
                </c:pt>
                <c:pt idx="23">
                  <c:v>TOTAL-23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FACTURA'!$D$68:$AF$68</c15:sqref>
                  </c15:fullRef>
                </c:ext>
              </c:extLst>
              <c:f>('DETALLE ENERGIA Y FACTURA'!$D$68,'DETALLE ENERGIA Y FACTURA'!$S$68:$AC$68,'DETALLE ENERGIA Y FACTURA'!$AE$68:$AF$68)</c:f>
              <c:numCache>
                <c:formatCode>_(* #,##0.00_);_(* \(#,##0.00\);_(* "-"??_);_(@_)</c:formatCode>
                <c:ptCount val="14"/>
                <c:pt idx="1">
                  <c:v>191675.33942609694</c:v>
                </c:pt>
                <c:pt idx="2">
                  <c:v>215751.11917874642</c:v>
                </c:pt>
                <c:pt idx="3">
                  <c:v>217835.3188716766</c:v>
                </c:pt>
                <c:pt idx="4">
                  <c:v>215512.80859583843</c:v>
                </c:pt>
                <c:pt idx="5">
                  <c:v>182698.87445117492</c:v>
                </c:pt>
                <c:pt idx="6">
                  <c:v>166077.01695910856</c:v>
                </c:pt>
                <c:pt idx="7">
                  <c:v>220944.80943225644</c:v>
                </c:pt>
                <c:pt idx="8">
                  <c:v>195077.6747139309</c:v>
                </c:pt>
                <c:pt idx="9">
                  <c:v>225817.12052482093</c:v>
                </c:pt>
                <c:pt idx="10">
                  <c:v>218049.26036112028</c:v>
                </c:pt>
                <c:pt idx="11">
                  <c:v>189733.51843167288</c:v>
                </c:pt>
                <c:pt idx="12">
                  <c:v>188823.01918183628</c:v>
                </c:pt>
                <c:pt idx="13">
                  <c:v>206350.89174593813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07-4DE7-B090-0C71E7615B91}"/>
            </c:ext>
          </c:extLst>
        </c:ser>
        <c:ser>
          <c:idx val="4"/>
          <c:order val="4"/>
          <c:tx>
            <c:strRef>
              <c:f>'DETALLE ENERGIA Y FACTURA'!$C$69</c:f>
              <c:strCache>
                <c:ptCount val="1"/>
                <c:pt idx="0">
                  <c:v>SULFUROS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FACTURA'!$E$1:$AQ$1</c15:sqref>
                  </c15:fullRef>
                </c:ext>
              </c:extLst>
              <c:f>('DETALLE ENERGIA Y FACTURA'!$E$1,'DETALLE ENERGIA Y FACTURA'!$T$1:$AD$1,'DETALLE ENERGIA Y FACTURA'!$AF$1:$AQ$1)</c:f>
              <c:strCache>
                <c:ptCount val="24"/>
                <c:pt idx="0">
                  <c:v>ene-21</c:v>
                </c:pt>
                <c:pt idx="1">
                  <c:v>mar-22</c:v>
                </c:pt>
                <c:pt idx="2">
                  <c:v>abr-22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ago-22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dic-22</c:v>
                </c:pt>
                <c:pt idx="11">
                  <c:v>TOTAL-22</c:v>
                </c:pt>
                <c:pt idx="12">
                  <c:v>feb-23</c:v>
                </c:pt>
                <c:pt idx="13">
                  <c:v>mar-23</c:v>
                </c:pt>
                <c:pt idx="14">
                  <c:v>abr-23</c:v>
                </c:pt>
                <c:pt idx="15">
                  <c:v>may-23</c:v>
                </c:pt>
                <c:pt idx="16">
                  <c:v>jun-23</c:v>
                </c:pt>
                <c:pt idx="17">
                  <c:v>jul-23</c:v>
                </c:pt>
                <c:pt idx="18">
                  <c:v>ago-23</c:v>
                </c:pt>
                <c:pt idx="19">
                  <c:v>sep-23</c:v>
                </c:pt>
                <c:pt idx="20">
                  <c:v>oct-23</c:v>
                </c:pt>
                <c:pt idx="21">
                  <c:v>nov-23</c:v>
                </c:pt>
                <c:pt idx="22">
                  <c:v>dic-23</c:v>
                </c:pt>
                <c:pt idx="23">
                  <c:v>TOTAL-23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FACTURA'!$D$69:$AF$69</c15:sqref>
                  </c15:fullRef>
                </c:ext>
              </c:extLst>
              <c:f>('DETALLE ENERGIA Y FACTURA'!$D$69,'DETALLE ENERGIA Y FACTURA'!$S$69:$AC$69,'DETALLE ENERGIA Y FACTURA'!$AE$69:$AF$69)</c:f>
              <c:numCache>
                <c:formatCode>_(* #,##0.00_);_(* \(#,##0.00\);_(* "-"??_);_(@_)</c:formatCode>
                <c:ptCount val="14"/>
                <c:pt idx="1">
                  <c:v>839444.54858290602</c:v>
                </c:pt>
                <c:pt idx="2">
                  <c:v>865923.34700275376</c:v>
                </c:pt>
                <c:pt idx="3">
                  <c:v>926442.78277772991</c:v>
                </c:pt>
                <c:pt idx="4">
                  <c:v>839709.52184245375</c:v>
                </c:pt>
                <c:pt idx="5">
                  <c:v>892251.2004645773</c:v>
                </c:pt>
                <c:pt idx="6">
                  <c:v>642779.17023115221</c:v>
                </c:pt>
                <c:pt idx="7">
                  <c:v>1002402.5616683613</c:v>
                </c:pt>
                <c:pt idx="8">
                  <c:v>931860.26759357052</c:v>
                </c:pt>
                <c:pt idx="9">
                  <c:v>918124.75638854562</c:v>
                </c:pt>
                <c:pt idx="10">
                  <c:v>876107.47730461322</c:v>
                </c:pt>
                <c:pt idx="11">
                  <c:v>906846.14367503452</c:v>
                </c:pt>
                <c:pt idx="12">
                  <c:v>819470.67657308851</c:v>
                </c:pt>
                <c:pt idx="13">
                  <c:v>869692.26491626888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07-4DE7-B090-0C71E7615B91}"/>
            </c:ext>
          </c:extLst>
        </c:ser>
        <c:ser>
          <c:idx val="5"/>
          <c:order val="5"/>
          <c:tx>
            <c:strRef>
              <c:f>'DETALLE ENERGIA Y FACTURA'!$C$70</c:f>
              <c:strCache>
                <c:ptCount val="1"/>
                <c:pt idx="0">
                  <c:v>INFRAESTRUCTURA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FACTURA'!$E$1:$AQ$1</c15:sqref>
                  </c15:fullRef>
                </c:ext>
              </c:extLst>
              <c:f>('DETALLE ENERGIA Y FACTURA'!$E$1,'DETALLE ENERGIA Y FACTURA'!$T$1:$AD$1,'DETALLE ENERGIA Y FACTURA'!$AF$1:$AQ$1)</c:f>
              <c:strCache>
                <c:ptCount val="24"/>
                <c:pt idx="0">
                  <c:v>ene-21</c:v>
                </c:pt>
                <c:pt idx="1">
                  <c:v>mar-22</c:v>
                </c:pt>
                <c:pt idx="2">
                  <c:v>abr-22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ago-22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dic-22</c:v>
                </c:pt>
                <c:pt idx="11">
                  <c:v>TOTAL-22</c:v>
                </c:pt>
                <c:pt idx="12">
                  <c:v>feb-23</c:v>
                </c:pt>
                <c:pt idx="13">
                  <c:v>mar-23</c:v>
                </c:pt>
                <c:pt idx="14">
                  <c:v>abr-23</c:v>
                </c:pt>
                <c:pt idx="15">
                  <c:v>may-23</c:v>
                </c:pt>
                <c:pt idx="16">
                  <c:v>jun-23</c:v>
                </c:pt>
                <c:pt idx="17">
                  <c:v>jul-23</c:v>
                </c:pt>
                <c:pt idx="18">
                  <c:v>ago-23</c:v>
                </c:pt>
                <c:pt idx="19">
                  <c:v>sep-23</c:v>
                </c:pt>
                <c:pt idx="20">
                  <c:v>oct-23</c:v>
                </c:pt>
                <c:pt idx="21">
                  <c:v>nov-23</c:v>
                </c:pt>
                <c:pt idx="22">
                  <c:v>dic-23</c:v>
                </c:pt>
                <c:pt idx="23">
                  <c:v>TOTAL-23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FACTURA'!$D$70:$AF$70</c15:sqref>
                  </c15:fullRef>
                </c:ext>
              </c:extLst>
              <c:f>('DETALLE ENERGIA Y FACTURA'!$D$70,'DETALLE ENERGIA Y FACTURA'!$S$70:$AC$70,'DETALLE ENERGIA Y FACTURA'!$AE$70:$AF$70)</c:f>
              <c:numCache>
                <c:formatCode>_(* #,##0.00_);_(* \(#,##0.00\);_(* "-"??_);_(@_)</c:formatCode>
                <c:ptCount val="14"/>
                <c:pt idx="1">
                  <c:v>226441.81618411493</c:v>
                </c:pt>
                <c:pt idx="2">
                  <c:v>230357.74302896412</c:v>
                </c:pt>
                <c:pt idx="3">
                  <c:v>251036.58550676957</c:v>
                </c:pt>
                <c:pt idx="4">
                  <c:v>241989.72414489544</c:v>
                </c:pt>
                <c:pt idx="5">
                  <c:v>246508.58042780904</c:v>
                </c:pt>
                <c:pt idx="6">
                  <c:v>187344.57636278874</c:v>
                </c:pt>
                <c:pt idx="7">
                  <c:v>269845.26722366462</c:v>
                </c:pt>
                <c:pt idx="8">
                  <c:v>241945.13143108983</c:v>
                </c:pt>
                <c:pt idx="9">
                  <c:v>251887.98296248255</c:v>
                </c:pt>
                <c:pt idx="10">
                  <c:v>281524.16119479755</c:v>
                </c:pt>
                <c:pt idx="11">
                  <c:v>304845.82159696583</c:v>
                </c:pt>
                <c:pt idx="12">
                  <c:v>286635.87898254651</c:v>
                </c:pt>
                <c:pt idx="13">
                  <c:v>281955.81823173945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07-4DE7-B090-0C71E7615B91}"/>
            </c:ext>
          </c:extLst>
        </c:ser>
        <c:ser>
          <c:idx val="6"/>
          <c:order val="6"/>
          <c:tx>
            <c:strRef>
              <c:f>'DETALLE ENERGIA Y FACTURA'!$C$71</c:f>
              <c:strCache>
                <c:ptCount val="1"/>
                <c:pt idx="0">
                  <c:v>OXIDOS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'DETALLE ENERGIA Y FACTURA'!$E$1:$AQ$1</c15:sqref>
                  </c15:fullRef>
                </c:ext>
              </c:extLst>
              <c:f>('DETALLE ENERGIA Y FACTURA'!$E$1,'DETALLE ENERGIA Y FACTURA'!$T$1:$AD$1,'DETALLE ENERGIA Y FACTURA'!$AF$1:$AQ$1)</c:f>
              <c:strCache>
                <c:ptCount val="24"/>
                <c:pt idx="0">
                  <c:v>ene-21</c:v>
                </c:pt>
                <c:pt idx="1">
                  <c:v>mar-22</c:v>
                </c:pt>
                <c:pt idx="2">
                  <c:v>abr-22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ago-22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dic-22</c:v>
                </c:pt>
                <c:pt idx="11">
                  <c:v>TOTAL-22</c:v>
                </c:pt>
                <c:pt idx="12">
                  <c:v>feb-23</c:v>
                </c:pt>
                <c:pt idx="13">
                  <c:v>mar-23</c:v>
                </c:pt>
                <c:pt idx="14">
                  <c:v>abr-23</c:v>
                </c:pt>
                <c:pt idx="15">
                  <c:v>may-23</c:v>
                </c:pt>
                <c:pt idx="16">
                  <c:v>jun-23</c:v>
                </c:pt>
                <c:pt idx="17">
                  <c:v>jul-23</c:v>
                </c:pt>
                <c:pt idx="18">
                  <c:v>ago-23</c:v>
                </c:pt>
                <c:pt idx="19">
                  <c:v>sep-23</c:v>
                </c:pt>
                <c:pt idx="20">
                  <c:v>oct-23</c:v>
                </c:pt>
                <c:pt idx="21">
                  <c:v>nov-23</c:v>
                </c:pt>
                <c:pt idx="22">
                  <c:v>dic-23</c:v>
                </c:pt>
                <c:pt idx="23">
                  <c:v>TOTAL-23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ENERGIA Y FACTURA'!$D$71:$AF$71</c15:sqref>
                  </c15:fullRef>
                </c:ext>
              </c:extLst>
              <c:f>('DETALLE ENERGIA Y FACTURA'!$D$71,'DETALLE ENERGIA Y FACTURA'!$S$71:$AC$71,'DETALLE ENERGIA Y FACTURA'!$AE$71:$AF$71)</c:f>
              <c:numCache>
                <c:formatCode>_(* #,##0.00_);_(* \(#,##0.00\);_(* "-"??_);_(@_)</c:formatCode>
                <c:ptCount val="14"/>
                <c:pt idx="1">
                  <c:v>486534.76196185488</c:v>
                </c:pt>
                <c:pt idx="2">
                  <c:v>395129.39961000707</c:v>
                </c:pt>
                <c:pt idx="3">
                  <c:v>492129.67983778956</c:v>
                </c:pt>
                <c:pt idx="4">
                  <c:v>569956.51743482519</c:v>
                </c:pt>
                <c:pt idx="5">
                  <c:v>545664.68221432494</c:v>
                </c:pt>
                <c:pt idx="6">
                  <c:v>513817.35571651993</c:v>
                </c:pt>
                <c:pt idx="7">
                  <c:v>632505.14417346637</c:v>
                </c:pt>
                <c:pt idx="8">
                  <c:v>673379.72416671354</c:v>
                </c:pt>
                <c:pt idx="9">
                  <c:v>722786.94386918074</c:v>
                </c:pt>
                <c:pt idx="10">
                  <c:v>843224.57373994123</c:v>
                </c:pt>
                <c:pt idx="11">
                  <c:v>752200.72111486527</c:v>
                </c:pt>
                <c:pt idx="12">
                  <c:v>911797.31899873831</c:v>
                </c:pt>
                <c:pt idx="13">
                  <c:v>739583.66654312203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07-4DE7-B090-0C71E7615B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708112"/>
        <c:axId val="25125009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'DETALLE ENERGIA Y FACTURA'!$E$1</c15:sqref>
                        </c15:formulaRef>
                      </c:ext>
                    </c:extLst>
                    <c:strCache>
                      <c:ptCount val="1"/>
                      <c:pt idx="0">
                        <c:v>ene-21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MX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'DETALLE ENERGIA Y FACTURA'!$E$1:$AQ$1</c15:sqref>
                        </c15:fullRef>
                        <c15:formulaRef>
                          <c15:sqref>('DETALLE ENERGIA Y FACTURA'!$E$1,'DETALLE ENERGIA Y FACTURA'!$T$1:$AD$1,'DETALLE ENERGIA Y FACTURA'!$AF$1:$AQ$1)</c15:sqref>
                        </c15:formulaRef>
                      </c:ext>
                    </c:extLst>
                    <c:strCache>
                      <c:ptCount val="24"/>
                      <c:pt idx="0">
                        <c:v>ene-21</c:v>
                      </c:pt>
                      <c:pt idx="1">
                        <c:v>mar-22</c:v>
                      </c:pt>
                      <c:pt idx="2">
                        <c:v>abr-22</c:v>
                      </c:pt>
                      <c:pt idx="3">
                        <c:v>may-22</c:v>
                      </c:pt>
                      <c:pt idx="4">
                        <c:v>jun-22</c:v>
                      </c:pt>
                      <c:pt idx="5">
                        <c:v>jul-22</c:v>
                      </c:pt>
                      <c:pt idx="6">
                        <c:v>ago-22</c:v>
                      </c:pt>
                      <c:pt idx="7">
                        <c:v>sep-22</c:v>
                      </c:pt>
                      <c:pt idx="8">
                        <c:v>oct-22</c:v>
                      </c:pt>
                      <c:pt idx="9">
                        <c:v>nov-22</c:v>
                      </c:pt>
                      <c:pt idx="10">
                        <c:v>dic-22</c:v>
                      </c:pt>
                      <c:pt idx="11">
                        <c:v>TOTAL-22</c:v>
                      </c:pt>
                      <c:pt idx="12">
                        <c:v>feb-23</c:v>
                      </c:pt>
                      <c:pt idx="13">
                        <c:v>mar-23</c:v>
                      </c:pt>
                      <c:pt idx="14">
                        <c:v>abr-23</c:v>
                      </c:pt>
                      <c:pt idx="15">
                        <c:v>may-23</c:v>
                      </c:pt>
                      <c:pt idx="16">
                        <c:v>jun-23</c:v>
                      </c:pt>
                      <c:pt idx="17">
                        <c:v>jul-23</c:v>
                      </c:pt>
                      <c:pt idx="18">
                        <c:v>ago-23</c:v>
                      </c:pt>
                      <c:pt idx="19">
                        <c:v>sep-23</c:v>
                      </c:pt>
                      <c:pt idx="20">
                        <c:v>oct-23</c:v>
                      </c:pt>
                      <c:pt idx="21">
                        <c:v>nov-23</c:v>
                      </c:pt>
                      <c:pt idx="22">
                        <c:v>dic-23</c:v>
                      </c:pt>
                      <c:pt idx="23">
                        <c:v>TOTAL-23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'DETALLE ENERGIA Y FACTURA'!$F$1:$AQ$1</c15:sqref>
                        </c15:fullRef>
                        <c15:formulaRef>
                          <c15:sqref>('DETALLE ENERGIA Y FACTURA'!$F$1,'DETALLE ENERGIA Y FACTURA'!$U$1:$AE$1,'DETALLE ENERGIA Y FACTURA'!$AG$1:$AQ$1)</c15:sqref>
                        </c15:formulaRef>
                      </c:ext>
                    </c:extLst>
                    <c:numCache>
                      <c:formatCode>mmm\-yy</c:formatCode>
                      <c:ptCount val="23"/>
                      <c:pt idx="0">
                        <c:v>44228</c:v>
                      </c:pt>
                      <c:pt idx="1">
                        <c:v>44652</c:v>
                      </c:pt>
                      <c:pt idx="2">
                        <c:v>44682</c:v>
                      </c:pt>
                      <c:pt idx="3">
                        <c:v>44713</c:v>
                      </c:pt>
                      <c:pt idx="4">
                        <c:v>44743</c:v>
                      </c:pt>
                      <c:pt idx="5">
                        <c:v>44774</c:v>
                      </c:pt>
                      <c:pt idx="6">
                        <c:v>44805</c:v>
                      </c:pt>
                      <c:pt idx="7">
                        <c:v>44835</c:v>
                      </c:pt>
                      <c:pt idx="8">
                        <c:v>44866</c:v>
                      </c:pt>
                      <c:pt idx="9">
                        <c:v>44896</c:v>
                      </c:pt>
                      <c:pt idx="10">
                        <c:v>0</c:v>
                      </c:pt>
                      <c:pt idx="11">
                        <c:v>44927</c:v>
                      </c:pt>
                      <c:pt idx="12">
                        <c:v>44986</c:v>
                      </c:pt>
                      <c:pt idx="13">
                        <c:v>45017</c:v>
                      </c:pt>
                      <c:pt idx="14">
                        <c:v>45047</c:v>
                      </c:pt>
                      <c:pt idx="15">
                        <c:v>45078</c:v>
                      </c:pt>
                      <c:pt idx="16">
                        <c:v>45108</c:v>
                      </c:pt>
                      <c:pt idx="17">
                        <c:v>45139</c:v>
                      </c:pt>
                      <c:pt idx="18">
                        <c:v>45170</c:v>
                      </c:pt>
                      <c:pt idx="19">
                        <c:v>45200</c:v>
                      </c:pt>
                      <c:pt idx="20">
                        <c:v>45231</c:v>
                      </c:pt>
                      <c:pt idx="21">
                        <c:v>45261</c:v>
                      </c:pt>
                      <c:pt idx="2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4007-4DE7-B090-0C71E7615B91}"/>
                  </c:ext>
                </c:extLst>
              </c15:ser>
            </c15:filteredBarSeries>
          </c:ext>
        </c:extLst>
      </c:barChart>
      <c:catAx>
        <c:axId val="2087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250095"/>
        <c:crosses val="autoZero"/>
        <c:auto val="1"/>
        <c:lblAlgn val="ctr"/>
        <c:lblOffset val="100"/>
        <c:noMultiLvlLbl val="0"/>
      </c:catAx>
      <c:valAx>
        <c:axId val="25125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70811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2108107283550898E-2"/>
                <c:y val="0.40989445345308989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s-PE"/>
                    <a:t>Millones $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160020</xdr:rowOff>
    </xdr:from>
    <xdr:to>
      <xdr:col>9</xdr:col>
      <xdr:colOff>716280</xdr:colOff>
      <xdr:row>20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30D160-7E89-4449-9F4B-B7FF0CBB4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129540</xdr:colOff>
      <xdr:row>23</xdr:row>
      <xdr:rowOff>160020</xdr:rowOff>
    </xdr:from>
    <xdr:to>
      <xdr:col>9</xdr:col>
      <xdr:colOff>716280</xdr:colOff>
      <xdr:row>42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925942-D3ED-4C88-BD20-8E12B4411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129540</xdr:colOff>
      <xdr:row>1</xdr:row>
      <xdr:rowOff>160020</xdr:rowOff>
    </xdr:from>
    <xdr:to>
      <xdr:col>21</xdr:col>
      <xdr:colOff>716280</xdr:colOff>
      <xdr:row>20</xdr:row>
      <xdr:rowOff>22860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00AB94-98C0-4375-9FA6-6E94F63F4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129540</xdr:colOff>
      <xdr:row>23</xdr:row>
      <xdr:rowOff>160020</xdr:rowOff>
    </xdr:from>
    <xdr:to>
      <xdr:col>21</xdr:col>
      <xdr:colOff>716280</xdr:colOff>
      <xdr:row>42</xdr:row>
      <xdr:rowOff>22860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9A1F20-5A8B-4756-9EE9-5979499A2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129540</xdr:colOff>
      <xdr:row>1</xdr:row>
      <xdr:rowOff>160020</xdr:rowOff>
    </xdr:from>
    <xdr:to>
      <xdr:col>33</xdr:col>
      <xdr:colOff>716280</xdr:colOff>
      <xdr:row>20</xdr:row>
      <xdr:rowOff>22860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9D97E9D-DCDC-4D55-9C7E-0B33DC8B1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129540</xdr:colOff>
      <xdr:row>44</xdr:row>
      <xdr:rowOff>160020</xdr:rowOff>
    </xdr:from>
    <xdr:to>
      <xdr:col>9</xdr:col>
      <xdr:colOff>716280</xdr:colOff>
      <xdr:row>63</xdr:row>
      <xdr:rowOff>22860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FB4F438-8C0E-4881-8EC0-51CBE1152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134471</xdr:colOff>
      <xdr:row>44</xdr:row>
      <xdr:rowOff>107577</xdr:rowOff>
    </xdr:from>
    <xdr:to>
      <xdr:col>21</xdr:col>
      <xdr:colOff>721211</xdr:colOff>
      <xdr:row>62</xdr:row>
      <xdr:rowOff>149711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5C07647-82FB-4969-9F7D-B7722F5AC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116541</xdr:colOff>
      <xdr:row>44</xdr:row>
      <xdr:rowOff>125506</xdr:rowOff>
    </xdr:from>
    <xdr:to>
      <xdr:col>33</xdr:col>
      <xdr:colOff>703281</xdr:colOff>
      <xdr:row>62</xdr:row>
      <xdr:rowOff>167640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038F414-AB1B-4986-A53D-322D1B369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134471</xdr:colOff>
      <xdr:row>66</xdr:row>
      <xdr:rowOff>107577</xdr:rowOff>
    </xdr:from>
    <xdr:to>
      <xdr:col>21</xdr:col>
      <xdr:colOff>721211</xdr:colOff>
      <xdr:row>84</xdr:row>
      <xdr:rowOff>149711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F28C8CB-970D-4498-B427-5C0284FC5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230717</xdr:colOff>
      <xdr:row>28</xdr:row>
      <xdr:rowOff>116416</xdr:rowOff>
    </xdr:from>
    <xdr:to>
      <xdr:col>19</xdr:col>
      <xdr:colOff>275167</xdr:colOff>
      <xdr:row>45</xdr:row>
      <xdr:rowOff>49389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711199</xdr:colOff>
      <xdr:row>3</xdr:row>
      <xdr:rowOff>165806</xdr:rowOff>
    </xdr:from>
    <xdr:to>
      <xdr:col>18</xdr:col>
      <xdr:colOff>711199</xdr:colOff>
      <xdr:row>19</xdr:row>
      <xdr:rowOff>160867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31750</xdr:colOff>
      <xdr:row>0</xdr:row>
      <xdr:rowOff>148167</xdr:rowOff>
    </xdr:from>
    <xdr:to>
      <xdr:col>12</xdr:col>
      <xdr:colOff>52915</xdr:colOff>
      <xdr:row>25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120F86-CB02-41DB-A833-36EEE8331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27214</xdr:colOff>
      <xdr:row>26</xdr:row>
      <xdr:rowOff>127000</xdr:rowOff>
    </xdr:from>
    <xdr:to>
      <xdr:col>12</xdr:col>
      <xdr:colOff>36286</xdr:colOff>
      <xdr:row>47</xdr:row>
      <xdr:rowOff>99786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474B337-FEF6-4585-AC01-F3941CC3F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8906-31C0-4E34-8947-1C8EE0A4041D}">
  <sheetPr codeName="Hoja1"/>
  <dimension ref="A1:BU85"/>
  <sheetViews>
    <sheetView showGridLines="0" tabSelected="1" zoomScale="70" zoomScaleNormal="70" workbookViewId="0">
      <pane xSplit="4" ySplit="2" topLeftCell="AD44" activePane="bottomRight" state="frozen"/>
      <selection pane="topRight" activeCell="E1" sqref="E1"/>
      <selection pane="bottomLeft" activeCell="A3" sqref="A3"/>
      <selection pane="bottomRight" activeCell="A53" sqref="A53"/>
    </sheetView>
  </sheetViews>
  <sheetFormatPr baseColWidth="10" defaultColWidth="11.44140625" defaultRowHeight="14.4"/>
  <cols>
    <col min="1" max="1" width="13.6640625" style="88" customWidth="1"/>
    <col min="2" max="2" width="12.33203125" style="82" customWidth="1"/>
    <col min="3" max="3" width="22.33203125" style="82" customWidth="1"/>
    <col min="4" max="4" width="39.88671875" style="82" customWidth="1"/>
    <col min="5" max="5" width="21.44140625" customWidth="1"/>
    <col min="6" max="6" width="23.109375" customWidth="1"/>
    <col min="7" max="7" width="19.44140625" customWidth="1"/>
    <col min="8" max="8" width="22.109375" customWidth="1"/>
    <col min="9" max="9" width="18.44140625" customWidth="1"/>
    <col min="10" max="10" width="15.88671875" customWidth="1"/>
    <col min="11" max="16" width="21.5546875" customWidth="1"/>
    <col min="17" max="17" width="17.44140625" customWidth="1"/>
    <col min="18" max="18" width="21.5546875" customWidth="1"/>
    <col min="19" max="19" width="16.109375" customWidth="1"/>
    <col min="20" max="29" width="19" customWidth="1"/>
    <col min="30" max="30" width="16.88671875" customWidth="1"/>
    <col min="31" max="31" width="19" customWidth="1"/>
    <col min="32" max="42" width="17.88671875" customWidth="1"/>
    <col min="43" max="43" width="16.6640625" customWidth="1"/>
    <col min="44" max="44" width="19" customWidth="1"/>
    <col min="45" max="55" width="17.88671875" customWidth="1"/>
    <col min="56" max="56" width="19.6640625" customWidth="1"/>
    <col min="57" max="57" width="14.33203125" customWidth="1"/>
    <col min="58" max="58" width="13.5546875" bestFit="1" customWidth="1"/>
    <col min="59" max="59" width="14.6640625" bestFit="1" customWidth="1"/>
    <col min="60" max="68" width="13.5546875" bestFit="1" customWidth="1"/>
    <col min="69" max="69" width="19.6640625" customWidth="1"/>
    <col min="70" max="72" width="13.5546875" bestFit="1" customWidth="1"/>
  </cols>
  <sheetData>
    <row r="1" spans="1:73">
      <c r="A1" s="5" t="s">
        <v>0</v>
      </c>
      <c r="B1" s="6" t="s">
        <v>1</v>
      </c>
      <c r="C1" s="6" t="s">
        <v>2</v>
      </c>
      <c r="D1" s="6" t="s">
        <v>3</v>
      </c>
      <c r="E1" s="3">
        <v>44197</v>
      </c>
      <c r="F1" s="3">
        <v>44228</v>
      </c>
      <c r="G1" s="3">
        <v>44256</v>
      </c>
      <c r="H1" s="3">
        <v>44287</v>
      </c>
      <c r="I1" s="3">
        <v>44317</v>
      </c>
      <c r="J1" s="3">
        <v>44348</v>
      </c>
      <c r="K1" s="3">
        <v>44378</v>
      </c>
      <c r="L1" s="3">
        <v>44409</v>
      </c>
      <c r="M1" s="3">
        <v>44440</v>
      </c>
      <c r="N1" s="3">
        <v>44470</v>
      </c>
      <c r="O1" s="3">
        <v>44501</v>
      </c>
      <c r="P1" s="3">
        <v>44531</v>
      </c>
      <c r="Q1" s="33" t="s">
        <v>4</v>
      </c>
      <c r="R1" s="3">
        <v>44562</v>
      </c>
      <c r="S1" s="3">
        <v>44593</v>
      </c>
      <c r="T1" s="3">
        <v>44621</v>
      </c>
      <c r="U1" s="3">
        <v>44652</v>
      </c>
      <c r="V1" s="3">
        <v>44682</v>
      </c>
      <c r="W1" s="3">
        <v>44713</v>
      </c>
      <c r="X1" s="3">
        <v>44743</v>
      </c>
      <c r="Y1" s="3">
        <v>44774</v>
      </c>
      <c r="Z1" s="3">
        <v>44805</v>
      </c>
      <c r="AA1" s="3">
        <v>44835</v>
      </c>
      <c r="AB1" s="3">
        <v>44866</v>
      </c>
      <c r="AC1" s="3">
        <v>44896</v>
      </c>
      <c r="AD1" s="33" t="s">
        <v>5</v>
      </c>
      <c r="AE1" s="3">
        <v>44927</v>
      </c>
      <c r="AF1" s="3">
        <v>44958</v>
      </c>
      <c r="AG1" s="3">
        <v>44986</v>
      </c>
      <c r="AH1" s="3">
        <v>45017</v>
      </c>
      <c r="AI1" s="3">
        <v>45047</v>
      </c>
      <c r="AJ1" s="3">
        <v>45078</v>
      </c>
      <c r="AK1" s="3">
        <v>45108</v>
      </c>
      <c r="AL1" s="3">
        <v>45139</v>
      </c>
      <c r="AM1" s="3">
        <v>45170</v>
      </c>
      <c r="AN1" s="3">
        <v>45200</v>
      </c>
      <c r="AO1" s="3">
        <v>45231</v>
      </c>
      <c r="AP1" s="3">
        <v>45261</v>
      </c>
      <c r="AQ1" s="33" t="s">
        <v>6</v>
      </c>
      <c r="AR1" s="3">
        <v>45292</v>
      </c>
      <c r="AS1" s="3">
        <v>45323</v>
      </c>
      <c r="AT1" s="3">
        <v>45352</v>
      </c>
      <c r="AU1" s="3">
        <v>45383</v>
      </c>
      <c r="AV1" s="3">
        <v>45413</v>
      </c>
      <c r="AW1" s="3">
        <v>45444</v>
      </c>
      <c r="AX1" s="3">
        <v>45474</v>
      </c>
      <c r="AY1" s="3">
        <v>45505</v>
      </c>
      <c r="AZ1" s="3">
        <v>45536</v>
      </c>
      <c r="BA1" s="3">
        <v>45566</v>
      </c>
      <c r="BB1" s="3">
        <v>45597</v>
      </c>
      <c r="BC1" s="3">
        <v>45627</v>
      </c>
      <c r="BD1" s="33" t="s">
        <v>7</v>
      </c>
      <c r="BE1" s="3">
        <v>45658</v>
      </c>
      <c r="BF1" s="3">
        <v>45689</v>
      </c>
      <c r="BG1" s="3">
        <v>45717</v>
      </c>
      <c r="BH1" s="3">
        <v>45748</v>
      </c>
      <c r="BI1" s="3">
        <v>45778</v>
      </c>
      <c r="BJ1" s="3">
        <v>45809</v>
      </c>
      <c r="BK1" s="3">
        <v>45839</v>
      </c>
      <c r="BL1" s="3">
        <v>45870</v>
      </c>
      <c r="BM1" s="3">
        <v>45901</v>
      </c>
      <c r="BN1" s="3">
        <v>45931</v>
      </c>
      <c r="BO1" s="3">
        <v>45962</v>
      </c>
      <c r="BP1" s="3">
        <v>45992</v>
      </c>
      <c r="BQ1" s="33" t="s">
        <v>8</v>
      </c>
      <c r="BR1" s="3">
        <v>46023</v>
      </c>
      <c r="BS1" s="3">
        <v>46054</v>
      </c>
      <c r="BT1" s="3">
        <v>46082</v>
      </c>
    </row>
    <row r="2" spans="1:73" s="4" customFormat="1" ht="15" thickBot="1">
      <c r="A2" s="7"/>
      <c r="B2" s="79"/>
      <c r="C2" s="8" t="s">
        <v>9</v>
      </c>
      <c r="D2" s="8"/>
      <c r="E2" s="13">
        <f>+SUM(E3:E9)</f>
        <v>529639.38932617777</v>
      </c>
      <c r="F2" s="13">
        <f>+SUM(F3:F9)</f>
        <v>521129.64523727354</v>
      </c>
      <c r="G2" s="13">
        <f t="shared" ref="G2:AE2" si="0">+SUM(G3:G9)</f>
        <v>449844.95252708904</v>
      </c>
      <c r="H2" s="13">
        <f t="shared" si="0"/>
        <v>539516.64436326048</v>
      </c>
      <c r="I2" s="13">
        <f t="shared" si="0"/>
        <v>595047.29295877251</v>
      </c>
      <c r="J2" s="13">
        <f t="shared" si="0"/>
        <v>573272.36452951794</v>
      </c>
      <c r="K2" s="13">
        <f t="shared" si="0"/>
        <v>626045.30131375068</v>
      </c>
      <c r="L2" s="13">
        <f t="shared" si="0"/>
        <v>580058.93970691832</v>
      </c>
      <c r="M2" s="13">
        <f t="shared" si="0"/>
        <v>674479.23132234137</v>
      </c>
      <c r="N2" s="13">
        <f t="shared" si="0"/>
        <v>399713.29557839443</v>
      </c>
      <c r="O2" s="13">
        <f t="shared" si="0"/>
        <v>667714.3421950296</v>
      </c>
      <c r="P2" s="13">
        <f t="shared" si="0"/>
        <v>487331.91901982389</v>
      </c>
      <c r="Q2" s="20">
        <f>+SUM(E2:P2)</f>
        <v>6643793.3180783503</v>
      </c>
      <c r="R2" s="13">
        <f t="shared" si="0"/>
        <v>496330.21078234643</v>
      </c>
      <c r="S2" s="13">
        <f t="shared" si="0"/>
        <v>470237.24429930211</v>
      </c>
      <c r="T2" s="13">
        <f t="shared" si="0"/>
        <v>520189.49487309111</v>
      </c>
      <c r="U2" s="13">
        <f t="shared" si="0"/>
        <v>499512.68931917031</v>
      </c>
      <c r="V2" s="13">
        <f t="shared" si="0"/>
        <v>508752.84568531113</v>
      </c>
      <c r="W2" s="13">
        <f t="shared" si="0"/>
        <v>485176.37474148057</v>
      </c>
      <c r="X2" s="13">
        <f t="shared" si="0"/>
        <v>511823.85544046346</v>
      </c>
      <c r="Y2" s="13">
        <f t="shared" si="0"/>
        <v>533833.22092198348</v>
      </c>
      <c r="Z2" s="13">
        <f t="shared" si="0"/>
        <v>526463.81340415869</v>
      </c>
      <c r="AA2" s="13">
        <f t="shared" si="0"/>
        <v>548716.41563182196</v>
      </c>
      <c r="AB2" s="13">
        <f t="shared" si="0"/>
        <v>535978.25871467905</v>
      </c>
      <c r="AC2" s="13">
        <f t="shared" si="0"/>
        <v>544120.59000000008</v>
      </c>
      <c r="AD2" s="13">
        <f>+SUM(AD3:AD9)</f>
        <v>6181135.0138138095</v>
      </c>
      <c r="AE2" s="13">
        <f t="shared" si="0"/>
        <v>543346.11340828147</v>
      </c>
      <c r="AF2" s="13">
        <f t="shared" ref="AF2:AP2" si="1">+SUM(AF3:AF9)</f>
        <v>517090.9448404141</v>
      </c>
      <c r="AG2" s="13">
        <f t="shared" si="1"/>
        <v>588101.94281842117</v>
      </c>
      <c r="AH2" s="13">
        <f t="shared" si="1"/>
        <v>834807.40671878413</v>
      </c>
      <c r="AI2" s="13">
        <f t="shared" si="1"/>
        <v>549526.73674276564</v>
      </c>
      <c r="AJ2" s="13">
        <f t="shared" si="1"/>
        <v>508026.77137808769</v>
      </c>
      <c r="AK2" s="13">
        <f t="shared" si="1"/>
        <v>535495.30650499719</v>
      </c>
      <c r="AL2" s="13">
        <f t="shared" si="1"/>
        <v>556495.71903670975</v>
      </c>
      <c r="AM2" s="13">
        <f t="shared" si="1"/>
        <v>530488.42000000004</v>
      </c>
      <c r="AN2" s="13">
        <f t="shared" si="1"/>
        <v>549600.01</v>
      </c>
      <c r="AO2" s="13">
        <f t="shared" si="1"/>
        <v>530245.90000000014</v>
      </c>
      <c r="AP2" s="13">
        <f t="shared" si="1"/>
        <v>565541.40999999992</v>
      </c>
      <c r="AQ2" s="13">
        <f>+SUM(AE3:AP9)</f>
        <v>6808766.6814484624</v>
      </c>
      <c r="AR2" s="13">
        <f t="shared" ref="AR2:BC2" si="2">+SUM(AR3:AR9)</f>
        <v>555890.57999999996</v>
      </c>
      <c r="AS2" s="13">
        <f t="shared" si="2"/>
        <v>559280.71748578199</v>
      </c>
      <c r="AT2" s="13">
        <f t="shared" si="2"/>
        <v>606064.29780000006</v>
      </c>
      <c r="AU2" s="13">
        <f t="shared" si="2"/>
        <v>559669.0865299633</v>
      </c>
      <c r="AV2" s="13">
        <f t="shared" si="2"/>
        <v>526112.60999999987</v>
      </c>
      <c r="AW2" s="13">
        <f t="shared" si="2"/>
        <v>469005.44999999995</v>
      </c>
      <c r="AX2" s="13">
        <f t="shared" si="2"/>
        <v>495606.33533914405</v>
      </c>
      <c r="AY2" s="13">
        <f t="shared" si="2"/>
        <v>513369.51395070006</v>
      </c>
      <c r="AZ2" s="13">
        <f t="shared" si="2"/>
        <v>501434.68499816081</v>
      </c>
      <c r="BA2" s="13">
        <f t="shared" si="2"/>
        <v>539321.95632600004</v>
      </c>
      <c r="BB2" s="13">
        <f t="shared" si="2"/>
        <v>521921.40149069997</v>
      </c>
      <c r="BC2" s="13">
        <f t="shared" si="2"/>
        <v>558203.29007539991</v>
      </c>
      <c r="BD2" s="13">
        <f>+SUM(AR3:BC9)</f>
        <v>6405879.9239958506</v>
      </c>
      <c r="BE2" s="13">
        <f t="shared" ref="BE2:BJ2" si="3">+SUM(BE3:BE9)</f>
        <v>556900.78844839998</v>
      </c>
      <c r="BF2" s="13">
        <f t="shared" si="3"/>
        <v>518655.69079621253</v>
      </c>
      <c r="BG2" s="13">
        <f t="shared" si="3"/>
        <v>584143.66652412247</v>
      </c>
      <c r="BH2" s="13">
        <f t="shared" si="3"/>
        <v>528453.87213135906</v>
      </c>
      <c r="BI2" s="13">
        <f t="shared" si="3"/>
        <v>511915.83782749495</v>
      </c>
      <c r="BJ2" s="13">
        <f t="shared" si="3"/>
        <v>492264.28512129991</v>
      </c>
      <c r="BK2" s="13">
        <f t="shared" ref="BK2:BL2" si="4">+SUM(BK3:BK9)</f>
        <v>513867.29356859997</v>
      </c>
      <c r="BL2" s="13">
        <f t="shared" si="4"/>
        <v>523272.85438929999</v>
      </c>
      <c r="BM2" s="13">
        <f t="shared" ref="BM2:BN2" si="5">+SUM(BM3:BM9)</f>
        <v>517510.2576923999</v>
      </c>
      <c r="BN2" s="13">
        <f t="shared" si="5"/>
        <v>555657.42794219346</v>
      </c>
      <c r="BO2" s="13">
        <f t="shared" ref="BO2:BP2" si="6">+SUM(BO3:BO9)</f>
        <v>535480.13000000012</v>
      </c>
      <c r="BP2" s="13">
        <f t="shared" si="6"/>
        <v>558082.42000000004</v>
      </c>
      <c r="BQ2" s="13">
        <f>+SUM(BE3:BP9)</f>
        <v>6396204.5244413828</v>
      </c>
      <c r="BR2" s="13">
        <f t="shared" ref="BR2:BS2" si="7">+SUM(BR3:BR9)</f>
        <v>571371.43315139995</v>
      </c>
      <c r="BS2" s="13">
        <f t="shared" si="7"/>
        <v>535508.74138469994</v>
      </c>
      <c r="BT2" s="13">
        <f t="shared" ref="BT2" si="8">+SUM(BT3:BT9)</f>
        <v>588516.85161679995</v>
      </c>
    </row>
    <row r="3" spans="1:73">
      <c r="A3" s="9">
        <v>3110200</v>
      </c>
      <c r="B3" s="80" t="s">
        <v>10</v>
      </c>
      <c r="C3" s="81" t="s">
        <v>9</v>
      </c>
      <c r="D3" s="81" t="s">
        <v>11</v>
      </c>
      <c r="E3" s="11">
        <v>296078.93625300651</v>
      </c>
      <c r="F3" s="11">
        <v>291321.82032015739</v>
      </c>
      <c r="G3" s="11">
        <v>244148.24937096171</v>
      </c>
      <c r="H3" s="11">
        <v>200134.35753915971</v>
      </c>
      <c r="I3" s="11">
        <v>220733.5193935858</v>
      </c>
      <c r="J3" s="11">
        <v>212656.08312321221</v>
      </c>
      <c r="K3" s="11">
        <v>232232.26841631296</v>
      </c>
      <c r="L3" s="11">
        <v>215173.57146617747</v>
      </c>
      <c r="M3" s="11">
        <v>250198.89385157824</v>
      </c>
      <c r="N3" s="11">
        <v>220114.99706860914</v>
      </c>
      <c r="O3" s="11">
        <v>280563.33979664696</v>
      </c>
      <c r="P3" s="11">
        <v>209079.53958475939</v>
      </c>
      <c r="Q3" s="21">
        <f>+SUM(E3:P3)</f>
        <v>2872435.5761841675</v>
      </c>
      <c r="R3" s="11">
        <v>199067.12794427489</v>
      </c>
      <c r="S3" s="11">
        <v>192830.30914912547</v>
      </c>
      <c r="T3" s="11">
        <v>218852.05832778566</v>
      </c>
      <c r="U3" s="11">
        <v>205626.52917318101</v>
      </c>
      <c r="V3" s="11">
        <v>208152.26168143944</v>
      </c>
      <c r="W3" s="11">
        <v>201717.29289669736</v>
      </c>
      <c r="X3" s="11">
        <v>213372.09320335244</v>
      </c>
      <c r="Y3" s="11">
        <v>229073.30135997169</v>
      </c>
      <c r="Z3" s="11">
        <v>226129.14611340783</v>
      </c>
      <c r="AA3" s="11">
        <v>235227.30792691698</v>
      </c>
      <c r="AB3" s="11">
        <v>232155.27561485412</v>
      </c>
      <c r="AC3" s="11">
        <v>232851.7</v>
      </c>
      <c r="AD3" s="21">
        <f>+SUM(R3:AC3)</f>
        <v>2595054.4033910073</v>
      </c>
      <c r="AE3" s="11">
        <v>231372.37569152113</v>
      </c>
      <c r="AF3" s="11">
        <v>222326.54196974257</v>
      </c>
      <c r="AG3" s="11">
        <v>256746.70402746627</v>
      </c>
      <c r="AH3" s="11">
        <v>237155.17537488294</v>
      </c>
      <c r="AI3" s="11">
        <v>232691.32315413398</v>
      </c>
      <c r="AJ3" s="11">
        <v>219251.96829596651</v>
      </c>
      <c r="AK3" s="11">
        <v>225408.36263896804</v>
      </c>
      <c r="AL3" s="11">
        <v>234654.75424264104</v>
      </c>
      <c r="AM3" s="11">
        <v>227590.15979999996</v>
      </c>
      <c r="AN3" s="11">
        <v>240026.79219999997</v>
      </c>
      <c r="AO3" s="11">
        <v>230900.64600000007</v>
      </c>
      <c r="AP3" s="11">
        <v>252282.07279999997</v>
      </c>
      <c r="AQ3" s="21">
        <f>+SUM(AE3:AP3)</f>
        <v>2810406.8761953227</v>
      </c>
      <c r="AR3" s="11">
        <v>259952.86839999998</v>
      </c>
      <c r="AS3" s="11">
        <v>253727.35137380075</v>
      </c>
      <c r="AT3" s="11">
        <v>268428.51020000002</v>
      </c>
      <c r="AU3" s="11">
        <v>240511.97608153624</v>
      </c>
      <c r="AV3" s="11">
        <v>227879.37399999998</v>
      </c>
      <c r="AW3" s="11">
        <v>215466.36239999995</v>
      </c>
      <c r="AX3" s="11">
        <v>225171.74581595679</v>
      </c>
      <c r="AY3" s="11">
        <v>224274.14471220001</v>
      </c>
      <c r="AZ3" s="11">
        <v>220081.46806897726</v>
      </c>
      <c r="BA3" s="11">
        <v>242222.5505178</v>
      </c>
      <c r="BB3" s="11">
        <v>231826.99513100003</v>
      </c>
      <c r="BC3" s="11">
        <v>247344.71544039994</v>
      </c>
      <c r="BD3" s="21">
        <f>+SUM(AR3:BC3)</f>
        <v>2856888.0621416704</v>
      </c>
      <c r="BE3" s="11">
        <v>249405.859818</v>
      </c>
      <c r="BF3" s="11">
        <v>236255.52687304225</v>
      </c>
      <c r="BG3" s="11">
        <v>266023.88414145587</v>
      </c>
      <c r="BH3" s="11">
        <v>242043.72553797215</v>
      </c>
      <c r="BI3" s="11">
        <v>241503.48133355129</v>
      </c>
      <c r="BJ3" s="11">
        <v>229532.0506394</v>
      </c>
      <c r="BK3" s="11">
        <v>237406.72118999995</v>
      </c>
      <c r="BL3" s="11">
        <v>242958.31103559997</v>
      </c>
      <c r="BM3" s="11">
        <v>241651.88237199993</v>
      </c>
      <c r="BN3" s="11">
        <v>253949.1382618919</v>
      </c>
      <c r="BO3" s="11">
        <v>246161.81</v>
      </c>
      <c r="BP3" s="11">
        <v>256373.07</v>
      </c>
      <c r="BQ3" s="21">
        <f>+SUM(BE3:BP3)</f>
        <v>2943265.4612029134</v>
      </c>
      <c r="BR3" s="11">
        <v>256426.3837332</v>
      </c>
      <c r="BS3" s="11">
        <v>247221.19378199999</v>
      </c>
      <c r="BT3" s="11">
        <v>269763.70455799997</v>
      </c>
    </row>
    <row r="4" spans="1:73">
      <c r="A4" s="9">
        <v>3110200</v>
      </c>
      <c r="B4" s="80" t="s">
        <v>10</v>
      </c>
      <c r="C4" s="81" t="s">
        <v>9</v>
      </c>
      <c r="D4" s="81" t="s">
        <v>12</v>
      </c>
      <c r="E4" s="11">
        <v>19154.898748816722</v>
      </c>
      <c r="F4" s="11">
        <v>18847.135977228532</v>
      </c>
      <c r="G4" s="11">
        <v>10303.644286701558</v>
      </c>
      <c r="H4" s="11">
        <v>23329.721559075824</v>
      </c>
      <c r="I4" s="11">
        <v>25730.971980658556</v>
      </c>
      <c r="J4" s="11">
        <v>24789.382833167361</v>
      </c>
      <c r="K4" s="11">
        <v>27071.384572861418</v>
      </c>
      <c r="L4" s="11">
        <v>25082.847197766059</v>
      </c>
      <c r="M4" s="11">
        <v>29165.759441399085</v>
      </c>
      <c r="N4" s="11">
        <v>27766.9310960113</v>
      </c>
      <c r="O4" s="11">
        <v>32579.632019964421</v>
      </c>
      <c r="P4" s="11">
        <v>28232.263608436206</v>
      </c>
      <c r="Q4" s="21">
        <f t="shared" ref="Q4:Q9" si="9">+SUM(E4:P4)</f>
        <v>292054.57332208706</v>
      </c>
      <c r="R4" s="11">
        <v>27932.413441143945</v>
      </c>
      <c r="S4" s="11">
        <v>25882.91305808345</v>
      </c>
      <c r="T4" s="11">
        <v>28334.76475416512</v>
      </c>
      <c r="U4" s="11">
        <v>27646.324290233253</v>
      </c>
      <c r="V4" s="11">
        <v>28666.27969388416</v>
      </c>
      <c r="W4" s="11">
        <v>27454.299135597063</v>
      </c>
      <c r="X4" s="11">
        <v>28516.745696186441</v>
      </c>
      <c r="Y4" s="11">
        <v>28457.138701626864</v>
      </c>
      <c r="Z4" s="11">
        <v>27611.178700133984</v>
      </c>
      <c r="AA4" s="11">
        <v>28511.152632647292</v>
      </c>
      <c r="AB4" s="11">
        <v>27374.550844425379</v>
      </c>
      <c r="AC4" s="11">
        <v>27314</v>
      </c>
      <c r="AD4" s="21">
        <f t="shared" ref="AD4:AD9" si="10">+SUM(R4:AC4)</f>
        <v>333701.76094812696</v>
      </c>
      <c r="AE4" s="11">
        <v>28349.338623647633</v>
      </c>
      <c r="AF4" s="11">
        <v>25737.532341588878</v>
      </c>
      <c r="AG4" s="11">
        <v>28265.549655005827</v>
      </c>
      <c r="AH4" s="11">
        <v>149463.00513190083</v>
      </c>
      <c r="AI4" s="11">
        <v>28689.814008137739</v>
      </c>
      <c r="AJ4" s="11">
        <v>27537.282801654805</v>
      </c>
      <c r="AK4" s="11">
        <v>28596.530452900955</v>
      </c>
      <c r="AL4" s="11">
        <v>28369.183545339503</v>
      </c>
      <c r="AM4" s="11">
        <v>27686.76</v>
      </c>
      <c r="AN4" s="11">
        <v>28641.840000000004</v>
      </c>
      <c r="AO4" s="11">
        <v>27806.540000000005</v>
      </c>
      <c r="AP4" s="11">
        <v>28597.66</v>
      </c>
      <c r="AQ4" s="21">
        <f>+SUM(AE4:AP4)</f>
        <v>457741.03656017617</v>
      </c>
      <c r="AR4" s="11">
        <v>28619.809999999998</v>
      </c>
      <c r="AS4" s="11">
        <v>26797.66532386397</v>
      </c>
      <c r="AT4" s="11">
        <v>28541.160000000007</v>
      </c>
      <c r="AU4" s="11">
        <v>27665.724881546019</v>
      </c>
      <c r="AV4" s="11">
        <v>28485.43</v>
      </c>
      <c r="AW4" s="11">
        <v>27576.050000000003</v>
      </c>
      <c r="AX4" s="11">
        <v>4775.8258423503212</v>
      </c>
      <c r="AY4" s="11">
        <v>4758.9588589999994</v>
      </c>
      <c r="AZ4" s="11">
        <v>4599.0374038763821</v>
      </c>
      <c r="BA4" s="11">
        <v>4749.0987919999998</v>
      </c>
      <c r="BB4" s="11">
        <v>4579.4957680000016</v>
      </c>
      <c r="BC4" s="11">
        <v>4755.4646369999991</v>
      </c>
      <c r="BD4" s="21">
        <f>+SUM(AR4:BC4)</f>
        <v>195903.72150763666</v>
      </c>
      <c r="BE4" s="11">
        <v>4768.0865330000006</v>
      </c>
      <c r="BF4" s="11">
        <v>4277.5996402256806</v>
      </c>
      <c r="BG4" s="11">
        <v>4739.5282490788959</v>
      </c>
      <c r="BH4" s="11">
        <v>4599.4705733345618</v>
      </c>
      <c r="BI4" s="11">
        <v>4772.9153879061942</v>
      </c>
      <c r="BJ4" s="11">
        <v>4614.9391730000007</v>
      </c>
      <c r="BK4" s="11">
        <v>4748.9390030000004</v>
      </c>
      <c r="BL4" s="11">
        <v>4763.2957329999999</v>
      </c>
      <c r="BM4" s="11">
        <v>4592.8228490000001</v>
      </c>
      <c r="BN4" s="11">
        <v>4789.6746923652745</v>
      </c>
      <c r="BO4" s="11">
        <v>4599</v>
      </c>
      <c r="BP4" s="11">
        <v>4771.87</v>
      </c>
      <c r="BQ4" s="21">
        <f>+SUM(BE4:BP4)</f>
        <v>56038.141833910602</v>
      </c>
      <c r="BR4" s="11">
        <v>4766.463753</v>
      </c>
      <c r="BS4" s="11">
        <v>4300.1029840000001</v>
      </c>
      <c r="BT4" s="11">
        <v>4744.4458429999995</v>
      </c>
    </row>
    <row r="5" spans="1:73">
      <c r="A5" s="9">
        <v>3110200</v>
      </c>
      <c r="B5" s="80" t="s">
        <v>10</v>
      </c>
      <c r="C5" s="81" t="s">
        <v>9</v>
      </c>
      <c r="D5" s="81" t="s">
        <v>13</v>
      </c>
      <c r="E5" s="11">
        <v>31924.919647343519</v>
      </c>
      <c r="F5" s="11">
        <v>31411.980274380054</v>
      </c>
      <c r="G5" s="11">
        <v>17172.788028862728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21">
        <f t="shared" si="9"/>
        <v>80509.687950586289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/>
      <c r="AA5" s="11"/>
      <c r="AB5" s="11"/>
      <c r="AC5" s="11"/>
      <c r="AD5" s="21">
        <f t="shared" si="10"/>
        <v>0</v>
      </c>
      <c r="AE5" s="11">
        <v>0</v>
      </c>
      <c r="AF5" s="11">
        <v>0</v>
      </c>
      <c r="AG5" s="11"/>
      <c r="AH5" s="11"/>
      <c r="AI5" s="11"/>
      <c r="AJ5" s="11"/>
      <c r="AK5" s="11"/>
      <c r="AL5" s="11"/>
      <c r="AM5" s="11">
        <v>0</v>
      </c>
      <c r="AN5" s="11">
        <v>0</v>
      </c>
      <c r="AO5" s="11">
        <v>0</v>
      </c>
      <c r="AP5" s="11">
        <v>0</v>
      </c>
      <c r="AQ5" s="21">
        <f t="shared" ref="AQ5:AQ9" si="11">+SUM(AE5:AP5)</f>
        <v>0</v>
      </c>
      <c r="AR5" s="11"/>
      <c r="AS5" s="11"/>
      <c r="AT5" s="11"/>
      <c r="AU5" s="11"/>
      <c r="AV5" s="11"/>
      <c r="AW5" s="11"/>
      <c r="AX5" s="11">
        <v>370.2776365113383</v>
      </c>
      <c r="AY5" s="11">
        <v>368.96991170000001</v>
      </c>
      <c r="AZ5" s="11">
        <v>356.57093795877023</v>
      </c>
      <c r="BA5" s="11">
        <v>368.20544400000006</v>
      </c>
      <c r="BB5" s="11">
        <v>355.05584269999997</v>
      </c>
      <c r="BC5" s="11">
        <v>368.69899839999994</v>
      </c>
      <c r="BD5" s="21">
        <f t="shared" ref="BD5:BD9" si="12">+SUM(AR5:BC5)</f>
        <v>2187.7787712701083</v>
      </c>
      <c r="BE5" s="11">
        <v>369.67759540000009</v>
      </c>
      <c r="BF5" s="11">
        <v>331.64933919471258</v>
      </c>
      <c r="BG5" s="11">
        <v>367.46342437478785</v>
      </c>
      <c r="BH5" s="11">
        <v>356.60452229967319</v>
      </c>
      <c r="BI5" s="11">
        <v>370.05198418892951</v>
      </c>
      <c r="BJ5" s="11">
        <v>357.80382830000002</v>
      </c>
      <c r="BK5" s="11">
        <v>368.19305560000004</v>
      </c>
      <c r="BL5" s="11">
        <v>369.30615630000005</v>
      </c>
      <c r="BM5" s="11">
        <v>356.08911339999986</v>
      </c>
      <c r="BN5" s="11">
        <v>371.35136064224452</v>
      </c>
      <c r="BO5" s="11">
        <v>356.57</v>
      </c>
      <c r="BP5" s="11">
        <v>369.97</v>
      </c>
      <c r="BQ5" s="21">
        <f t="shared" ref="BQ5:BQ17" si="13">+SUM(BE5:BP5)</f>
        <v>4344.7303797003478</v>
      </c>
      <c r="BR5" s="11">
        <v>369.55177840000005</v>
      </c>
      <c r="BS5" s="11">
        <v>333.39406070000007</v>
      </c>
      <c r="BT5" s="11">
        <v>367.8446937999999</v>
      </c>
    </row>
    <row r="6" spans="1:73">
      <c r="A6" s="9">
        <v>3110200</v>
      </c>
      <c r="B6" s="80" t="s">
        <v>10</v>
      </c>
      <c r="C6" s="81" t="s">
        <v>9</v>
      </c>
      <c r="D6" s="81" t="s">
        <v>14</v>
      </c>
      <c r="E6" s="11">
        <v>33192.529221014993</v>
      </c>
      <c r="F6" s="11">
        <v>32659.223097968395</v>
      </c>
      <c r="G6" s="11">
        <v>36679.264581164156</v>
      </c>
      <c r="H6" s="11">
        <v>32454.220141485363</v>
      </c>
      <c r="I6" s="11">
        <v>35794.624766527428</v>
      </c>
      <c r="J6" s="11">
        <v>34484.770236196586</v>
      </c>
      <c r="K6" s="11">
        <v>37659.286770212922</v>
      </c>
      <c r="L6" s="11">
        <v>34893.011589109876</v>
      </c>
      <c r="M6" s="11">
        <v>40572.793597553245</v>
      </c>
      <c r="N6" s="11">
        <v>33863.845702862949</v>
      </c>
      <c r="O6" s="11">
        <v>32705.3519326856</v>
      </c>
      <c r="P6" s="11">
        <v>33904.790202933953</v>
      </c>
      <c r="Q6" s="21">
        <f t="shared" si="9"/>
        <v>418863.71183971548</v>
      </c>
      <c r="R6" s="11">
        <v>32281.155882855383</v>
      </c>
      <c r="S6" s="11">
        <v>31269.779862020347</v>
      </c>
      <c r="T6" s="11">
        <v>35489.522972073355</v>
      </c>
      <c r="U6" s="11">
        <v>33344.84256862395</v>
      </c>
      <c r="V6" s="11">
        <v>33754.420813206394</v>
      </c>
      <c r="W6" s="11">
        <v>32710.912361626597</v>
      </c>
      <c r="X6" s="11">
        <v>34600.879978922014</v>
      </c>
      <c r="Y6" s="11">
        <v>37147.02184215757</v>
      </c>
      <c r="Z6" s="11">
        <v>36669.591261633701</v>
      </c>
      <c r="AA6" s="11">
        <v>38144.968853013568</v>
      </c>
      <c r="AB6" s="11">
        <v>37646.801451057421</v>
      </c>
      <c r="AC6" s="11">
        <v>37759.730000000003</v>
      </c>
      <c r="AD6" s="21">
        <f t="shared" si="10"/>
        <v>420819.62784719036</v>
      </c>
      <c r="AE6" s="11">
        <v>37519.844706733151</v>
      </c>
      <c r="AF6" s="11">
        <v>36052.952751850149</v>
      </c>
      <c r="AG6" s="11">
        <v>41634.600653102636</v>
      </c>
      <c r="AH6" s="11">
        <v>38457.596006737775</v>
      </c>
      <c r="AI6" s="11">
        <v>37733.728079048749</v>
      </c>
      <c r="AJ6" s="11">
        <v>35554.373237183761</v>
      </c>
      <c r="AK6" s="11">
        <v>36552.707454967785</v>
      </c>
      <c r="AL6" s="11">
        <v>38052.122309617465</v>
      </c>
      <c r="AM6" s="11">
        <v>36906.512399999992</v>
      </c>
      <c r="AN6" s="11">
        <v>38923.263599999998</v>
      </c>
      <c r="AO6" s="11">
        <v>37443.348000000005</v>
      </c>
      <c r="AP6" s="11">
        <v>40910.606399999997</v>
      </c>
      <c r="AQ6" s="21">
        <f t="shared" si="11"/>
        <v>455741.65559924149</v>
      </c>
      <c r="AR6" s="11">
        <v>42154.519199999995</v>
      </c>
      <c r="AS6" s="11">
        <v>41144.975898454177</v>
      </c>
      <c r="AT6" s="11">
        <v>43528.9476</v>
      </c>
      <c r="AU6" s="11">
        <v>39001.942067276148</v>
      </c>
      <c r="AV6" s="11">
        <v>36953.411999999997</v>
      </c>
      <c r="AW6" s="11">
        <v>34940.491199999989</v>
      </c>
      <c r="AX6" s="11">
        <v>36514.337159344344</v>
      </c>
      <c r="AY6" s="11">
        <v>36368.780223599999</v>
      </c>
      <c r="AZ6" s="11">
        <v>35688.886713888205</v>
      </c>
      <c r="BA6" s="11">
        <v>39279.332516399998</v>
      </c>
      <c r="BB6" s="11">
        <v>37593.566778</v>
      </c>
      <c r="BC6" s="11">
        <v>40109.953855199994</v>
      </c>
      <c r="BD6" s="21">
        <f t="shared" si="12"/>
        <v>463279.14521216275</v>
      </c>
      <c r="BE6" s="11">
        <v>40444.193483999996</v>
      </c>
      <c r="BF6" s="11">
        <v>38311.70706049334</v>
      </c>
      <c r="BG6" s="11">
        <v>43139.008239155002</v>
      </c>
      <c r="BH6" s="11">
        <v>39250.333871022507</v>
      </c>
      <c r="BI6" s="11">
        <v>39162.726702738044</v>
      </c>
      <c r="BJ6" s="11">
        <v>37221.4136172</v>
      </c>
      <c r="BK6" s="11">
        <v>38498.38721999999</v>
      </c>
      <c r="BL6" s="11">
        <v>39398.645032799992</v>
      </c>
      <c r="BM6" s="11">
        <v>39186.791735999992</v>
      </c>
      <c r="BN6" s="11">
        <v>41180.94133976625</v>
      </c>
      <c r="BO6" s="11">
        <v>39918.129999999997</v>
      </c>
      <c r="BP6" s="11">
        <v>41574.01</v>
      </c>
      <c r="BQ6" s="21">
        <f t="shared" si="13"/>
        <v>477286.28830317507</v>
      </c>
      <c r="BR6" s="11">
        <v>41582.656821599994</v>
      </c>
      <c r="BS6" s="11">
        <v>40089.923315999993</v>
      </c>
      <c r="BT6" s="11">
        <v>43745.46560399999</v>
      </c>
    </row>
    <row r="7" spans="1:73">
      <c r="A7" s="9">
        <v>3110200</v>
      </c>
      <c r="B7" s="80" t="s">
        <v>15</v>
      </c>
      <c r="C7" s="81" t="s">
        <v>9</v>
      </c>
      <c r="D7" s="81" t="s">
        <v>16</v>
      </c>
      <c r="E7" s="11">
        <v>29873.276298913494</v>
      </c>
      <c r="F7" s="11">
        <v>29393.300788171557</v>
      </c>
      <c r="G7" s="11">
        <v>33011.338123047746</v>
      </c>
      <c r="H7" s="11">
        <v>37863.256831732935</v>
      </c>
      <c r="I7" s="11">
        <v>41760.39556094868</v>
      </c>
      <c r="J7" s="11">
        <v>40232.231942229351</v>
      </c>
      <c r="K7" s="11">
        <v>43935.834565248406</v>
      </c>
      <c r="L7" s="11">
        <v>40708.513520628178</v>
      </c>
      <c r="M7" s="11">
        <v>47334.92586381211</v>
      </c>
      <c r="N7" s="11">
        <v>28219.871419052452</v>
      </c>
      <c r="O7" s="11">
        <v>45446.134103530356</v>
      </c>
      <c r="P7" s="11">
        <v>39555.588570089618</v>
      </c>
      <c r="Q7" s="21">
        <f t="shared" si="9"/>
        <v>457334.6675874049</v>
      </c>
      <c r="R7" s="11">
        <v>37661.348529997951</v>
      </c>
      <c r="S7" s="11">
        <v>36481.409839023741</v>
      </c>
      <c r="T7" s="11">
        <v>41404.443467418911</v>
      </c>
      <c r="U7" s="11">
        <v>38902.316330061272</v>
      </c>
      <c r="V7" s="11">
        <v>39380.157615407465</v>
      </c>
      <c r="W7" s="11">
        <v>38162.731088564367</v>
      </c>
      <c r="X7" s="11">
        <v>40367.693308742353</v>
      </c>
      <c r="Y7" s="11">
        <v>43338.192149183837</v>
      </c>
      <c r="Z7" s="11">
        <v>42781.189805239323</v>
      </c>
      <c r="AA7" s="11">
        <v>44502.463661849164</v>
      </c>
      <c r="AB7" s="11">
        <v>43921.268359566995</v>
      </c>
      <c r="AC7" s="11">
        <v>44053.02</v>
      </c>
      <c r="AD7" s="21">
        <f t="shared" si="10"/>
        <v>490956.23415505537</v>
      </c>
      <c r="AE7" s="11">
        <v>43773.152157855351</v>
      </c>
      <c r="AF7" s="11">
        <v>42061.778210491844</v>
      </c>
      <c r="AG7" s="11">
        <v>48573.700761953085</v>
      </c>
      <c r="AH7" s="11">
        <v>44867.19534119407</v>
      </c>
      <c r="AI7" s="11">
        <v>44022.682758890216</v>
      </c>
      <c r="AJ7" s="11">
        <v>41480.102110047723</v>
      </c>
      <c r="AK7" s="11">
        <v>42644.825364129094</v>
      </c>
      <c r="AL7" s="11">
        <v>44394.142694553717</v>
      </c>
      <c r="AM7" s="11">
        <v>43057.597799999996</v>
      </c>
      <c r="AN7" s="11">
        <v>45410.474199999997</v>
      </c>
      <c r="AO7" s="11">
        <v>43683.906000000017</v>
      </c>
      <c r="AP7" s="11">
        <v>47729.040800000002</v>
      </c>
      <c r="AQ7" s="21">
        <f t="shared" si="11"/>
        <v>531698.59819911513</v>
      </c>
      <c r="AR7" s="11">
        <v>49180.272400000002</v>
      </c>
      <c r="AS7" s="11">
        <v>48002.471881529877</v>
      </c>
      <c r="AT7" s="11">
        <v>50783.76</v>
      </c>
      <c r="AU7" s="11">
        <v>45502.265745155506</v>
      </c>
      <c r="AV7" s="11">
        <v>43112.313999999998</v>
      </c>
      <c r="AW7" s="11">
        <v>40763.9064</v>
      </c>
      <c r="AX7" s="11">
        <v>42600.060019235076</v>
      </c>
      <c r="AY7" s="11">
        <v>42430.243594200008</v>
      </c>
      <c r="AZ7" s="11">
        <v>41637.034499536247</v>
      </c>
      <c r="BA7" s="11">
        <v>45825.887935800005</v>
      </c>
      <c r="BB7" s="11">
        <v>43859.161241000009</v>
      </c>
      <c r="BC7" s="11">
        <v>46794.946164399997</v>
      </c>
      <c r="BD7" s="21">
        <f t="shared" si="12"/>
        <v>540492.32388085674</v>
      </c>
      <c r="BE7" s="11">
        <v>47184.892398000004</v>
      </c>
      <c r="BF7" s="11">
        <v>44696.991570575563</v>
      </c>
      <c r="BG7" s="11">
        <v>50328.842945680844</v>
      </c>
      <c r="BH7" s="11">
        <v>45792.056182859604</v>
      </c>
      <c r="BI7" s="11">
        <v>45689.847819861061</v>
      </c>
      <c r="BJ7" s="11">
        <v>43424.982553400005</v>
      </c>
      <c r="BK7" s="11">
        <v>44914.785089999998</v>
      </c>
      <c r="BL7" s="11">
        <v>45965.0858716</v>
      </c>
      <c r="BM7" s="11">
        <v>45717.923691999997</v>
      </c>
      <c r="BN7" s="11">
        <v>48044.431563060636</v>
      </c>
      <c r="BO7" s="11">
        <v>46571.15</v>
      </c>
      <c r="BP7" s="11">
        <v>48503.01</v>
      </c>
      <c r="BQ7" s="21">
        <f t="shared" si="13"/>
        <v>556833.99968703766</v>
      </c>
      <c r="BR7" s="11">
        <v>48513.099625200004</v>
      </c>
      <c r="BS7" s="11">
        <v>46771.577202</v>
      </c>
      <c r="BT7" s="11">
        <v>51036.376537999997</v>
      </c>
    </row>
    <row r="8" spans="1:73">
      <c r="A8" s="9">
        <v>3110200</v>
      </c>
      <c r="B8" s="80" t="s">
        <v>10</v>
      </c>
      <c r="C8" s="81" t="s">
        <v>9</v>
      </c>
      <c r="D8" s="81" t="s">
        <v>17</v>
      </c>
      <c r="E8" s="11">
        <v>45494.527447077387</v>
      </c>
      <c r="F8" s="11">
        <v>44763.564467694763</v>
      </c>
      <c r="G8" s="11">
        <v>24472.038926085334</v>
      </c>
      <c r="H8" s="11">
        <v>55410.089696642935</v>
      </c>
      <c r="I8" s="11">
        <v>61113.265403523146</v>
      </c>
      <c r="J8" s="11">
        <v>58876.910417984283</v>
      </c>
      <c r="K8" s="11">
        <v>64296.860277400949</v>
      </c>
      <c r="L8" s="11">
        <v>59573.913454390276</v>
      </c>
      <c r="M8" s="11">
        <v>69271.18022503535</v>
      </c>
      <c r="N8" s="11">
        <v>30095.843435077884</v>
      </c>
      <c r="O8" s="11">
        <v>56471.514993742087</v>
      </c>
      <c r="P8" s="11">
        <v>32363.579051877561</v>
      </c>
      <c r="Q8" s="21">
        <f t="shared" si="9"/>
        <v>602203.28779653204</v>
      </c>
      <c r="R8" s="11">
        <v>32269.565441720377</v>
      </c>
      <c r="S8" s="11">
        <v>30354.445941719605</v>
      </c>
      <c r="T8" s="11">
        <v>35593.610640609608</v>
      </c>
      <c r="U8" s="11">
        <v>33400.767056354074</v>
      </c>
      <c r="V8" s="11">
        <v>31920.784802039343</v>
      </c>
      <c r="W8" s="11">
        <v>30119.755279442328</v>
      </c>
      <c r="X8" s="11">
        <v>31434.422357838983</v>
      </c>
      <c r="Y8" s="11">
        <v>31549.55524838818</v>
      </c>
      <c r="Z8" s="11">
        <v>32033.116525603906</v>
      </c>
      <c r="AA8" s="11">
        <v>34538.2456711333</v>
      </c>
      <c r="AB8" s="11">
        <v>35724.926664663857</v>
      </c>
      <c r="AC8" s="11">
        <v>37590.589999999997</v>
      </c>
      <c r="AD8" s="21">
        <f t="shared" si="10"/>
        <v>396529.78562951344</v>
      </c>
      <c r="AE8" s="11">
        <v>40744.149712079197</v>
      </c>
      <c r="AF8" s="11">
        <v>39677.324257750603</v>
      </c>
      <c r="AG8" s="11">
        <v>44880.196627083053</v>
      </c>
      <c r="AH8" s="11">
        <v>234391.0346871526</v>
      </c>
      <c r="AI8" s="11">
        <v>38413.299535131489</v>
      </c>
      <c r="AJ8" s="11">
        <v>37849.760077486651</v>
      </c>
      <c r="AK8" s="11">
        <v>39959.650310211357</v>
      </c>
      <c r="AL8" s="11">
        <v>41163.769912951029</v>
      </c>
      <c r="AM8" s="11">
        <v>39859.39</v>
      </c>
      <c r="AN8" s="11">
        <v>44166.99</v>
      </c>
      <c r="AO8" s="11">
        <v>42219.200000000004</v>
      </c>
      <c r="AP8" s="11">
        <v>44160.48000000001</v>
      </c>
      <c r="AQ8" s="21">
        <f t="shared" si="11"/>
        <v>687485.24511984584</v>
      </c>
      <c r="AR8" s="11">
        <v>46852.289999999979</v>
      </c>
      <c r="AS8" s="11">
        <v>46294.409378961354</v>
      </c>
      <c r="AT8" s="11">
        <v>49409.509999999995</v>
      </c>
      <c r="AU8" s="11">
        <v>43874.230628942729</v>
      </c>
      <c r="AV8" s="11">
        <v>42116.849999999991</v>
      </c>
      <c r="AW8" s="11">
        <v>40408.87999999999</v>
      </c>
      <c r="AX8" s="11">
        <v>42126.281120947897</v>
      </c>
      <c r="AY8" s="11">
        <v>42487.071080000002</v>
      </c>
      <c r="AZ8" s="11">
        <v>42209.277269193495</v>
      </c>
      <c r="BA8" s="11">
        <v>46025.894339999999</v>
      </c>
      <c r="BB8" s="11">
        <v>45880.358110000001</v>
      </c>
      <c r="BC8" s="11">
        <v>48864.630660000003</v>
      </c>
      <c r="BD8" s="21">
        <f t="shared" si="12"/>
        <v>536549.68258804549</v>
      </c>
      <c r="BE8" s="11">
        <v>51088.232650000005</v>
      </c>
      <c r="BF8" s="11">
        <v>47209.134057579919</v>
      </c>
      <c r="BG8" s="11">
        <v>51665.258863961717</v>
      </c>
      <c r="BH8" s="11">
        <v>47534.151015252726</v>
      </c>
      <c r="BI8" s="11">
        <v>46122.616012615603</v>
      </c>
      <c r="BJ8" s="11">
        <v>42693.837159999988</v>
      </c>
      <c r="BK8" s="11">
        <v>44236.800490000016</v>
      </c>
      <c r="BL8" s="11">
        <v>44956.285189999995</v>
      </c>
      <c r="BM8" s="11">
        <v>45635.535570000007</v>
      </c>
      <c r="BN8" s="11">
        <v>48495.979818677282</v>
      </c>
      <c r="BO8" s="11">
        <v>47453.96</v>
      </c>
      <c r="BP8" s="11">
        <v>50596.89</v>
      </c>
      <c r="BQ8" s="21">
        <f t="shared" si="13"/>
        <v>567688.68082808726</v>
      </c>
      <c r="BR8" s="11">
        <v>53325.771069999995</v>
      </c>
      <c r="BS8" s="11">
        <v>48052.732619999995</v>
      </c>
      <c r="BT8" s="11">
        <v>52639.927619999995</v>
      </c>
    </row>
    <row r="9" spans="1:73">
      <c r="A9" s="9">
        <v>3110151</v>
      </c>
      <c r="B9" s="80" t="s">
        <v>18</v>
      </c>
      <c r="C9" s="81" t="s">
        <v>9</v>
      </c>
      <c r="D9" s="81" t="s">
        <v>19</v>
      </c>
      <c r="E9" s="11">
        <v>73920.301710005035</v>
      </c>
      <c r="F9" s="11">
        <v>72732.620311672843</v>
      </c>
      <c r="G9" s="11">
        <v>84057.629210265819</v>
      </c>
      <c r="H9" s="11">
        <v>190324.99859516369</v>
      </c>
      <c r="I9" s="11">
        <v>209914.51585352884</v>
      </c>
      <c r="J9" s="11">
        <v>202232.98597672812</v>
      </c>
      <c r="K9" s="11">
        <v>220849.66671171406</v>
      </c>
      <c r="L9" s="11">
        <v>204627.08247884645</v>
      </c>
      <c r="M9" s="11">
        <v>237935.67834296342</v>
      </c>
      <c r="N9" s="11">
        <v>59651.806856780691</v>
      </c>
      <c r="O9" s="11">
        <v>219948.36934846023</v>
      </c>
      <c r="P9" s="11">
        <v>144196.15800172719</v>
      </c>
      <c r="Q9" s="21">
        <f t="shared" si="9"/>
        <v>1920391.8133978562</v>
      </c>
      <c r="R9" s="11">
        <v>167118.59954235391</v>
      </c>
      <c r="S9" s="11">
        <v>153418.38644932956</v>
      </c>
      <c r="T9" s="11">
        <v>160515.09471103852</v>
      </c>
      <c r="U9" s="11">
        <v>160591.90990071674</v>
      </c>
      <c r="V9" s="11">
        <v>166878.94107933427</v>
      </c>
      <c r="W9" s="11">
        <v>155011.38397955286</v>
      </c>
      <c r="X9" s="11">
        <v>163532.02089542121</v>
      </c>
      <c r="Y9" s="11">
        <v>164268.01162065534</v>
      </c>
      <c r="Z9" s="11">
        <v>161239.59099813999</v>
      </c>
      <c r="AA9" s="11">
        <v>167792.27688626162</v>
      </c>
      <c r="AB9" s="11">
        <v>159155.43578011126</v>
      </c>
      <c r="AC9" s="11">
        <v>164551.54999999999</v>
      </c>
      <c r="AD9" s="21">
        <f t="shared" si="10"/>
        <v>1944073.2018429153</v>
      </c>
      <c r="AE9" s="11">
        <v>161587.25251644501</v>
      </c>
      <c r="AF9" s="11">
        <v>151234.8153089901</v>
      </c>
      <c r="AG9" s="11">
        <v>168001.19109381037</v>
      </c>
      <c r="AH9" s="11">
        <v>130473.40017691588</v>
      </c>
      <c r="AI9" s="11">
        <v>167975.88920742346</v>
      </c>
      <c r="AJ9" s="11">
        <v>146353.28485574832</v>
      </c>
      <c r="AK9" s="11">
        <v>162333.23028381995</v>
      </c>
      <c r="AL9" s="11">
        <v>169861.74633160705</v>
      </c>
      <c r="AM9" s="11">
        <v>155388.00000000003</v>
      </c>
      <c r="AN9" s="11">
        <v>152430.65</v>
      </c>
      <c r="AO9" s="11">
        <v>148192.26000000004</v>
      </c>
      <c r="AP9" s="11">
        <v>151861.54999999999</v>
      </c>
      <c r="AQ9" s="21">
        <f t="shared" si="11"/>
        <v>1865693.2697747601</v>
      </c>
      <c r="AR9" s="11">
        <v>129130.81999999999</v>
      </c>
      <c r="AS9" s="11">
        <v>143313.84362917184</v>
      </c>
      <c r="AT9" s="11">
        <v>165372.40999999997</v>
      </c>
      <c r="AU9" s="11">
        <v>163112.94712550665</v>
      </c>
      <c r="AV9" s="11">
        <v>147565.22999999998</v>
      </c>
      <c r="AW9" s="11">
        <v>109849.76000000001</v>
      </c>
      <c r="AX9" s="11">
        <v>144047.80774479825</v>
      </c>
      <c r="AY9" s="11">
        <v>162681.34557000003</v>
      </c>
      <c r="AZ9" s="11">
        <v>156862.41010473043</v>
      </c>
      <c r="BA9" s="11">
        <v>160850.98678000004</v>
      </c>
      <c r="BB9" s="11">
        <v>157826.76862000002</v>
      </c>
      <c r="BC9" s="11">
        <v>169964.88032</v>
      </c>
      <c r="BD9" s="21">
        <f t="shared" si="12"/>
        <v>1810579.2098942071</v>
      </c>
      <c r="BE9" s="11">
        <v>163639.84596999999</v>
      </c>
      <c r="BF9" s="11">
        <v>147573.08225510104</v>
      </c>
      <c r="BG9" s="11">
        <v>167879.68066041535</v>
      </c>
      <c r="BH9" s="11">
        <v>148877.53042861784</v>
      </c>
      <c r="BI9" s="11">
        <v>134294.19858663381</v>
      </c>
      <c r="BJ9" s="11">
        <v>134419.25814999998</v>
      </c>
      <c r="BK9" s="11">
        <v>143693.46752000001</v>
      </c>
      <c r="BL9" s="11">
        <v>144861.92536999998</v>
      </c>
      <c r="BM9" s="11">
        <v>140369.21236</v>
      </c>
      <c r="BN9" s="11">
        <v>158825.91090578987</v>
      </c>
      <c r="BO9" s="11">
        <v>150419.51</v>
      </c>
      <c r="BP9" s="11">
        <v>155893.6</v>
      </c>
      <c r="BQ9" s="21">
        <f t="shared" si="13"/>
        <v>1790747.2222065581</v>
      </c>
      <c r="BR9" s="11">
        <v>166387.50636999999</v>
      </c>
      <c r="BS9" s="11">
        <v>148739.81741999998</v>
      </c>
      <c r="BT9" s="11">
        <v>166219.08676000001</v>
      </c>
    </row>
    <row r="10" spans="1:73" ht="15" thickBot="1">
      <c r="A10" s="9"/>
      <c r="C10" s="8" t="s">
        <v>20</v>
      </c>
      <c r="D10" s="8"/>
      <c r="E10" s="14">
        <f>+SUM(E11:E12)</f>
        <v>195384.46296257668</v>
      </c>
      <c r="F10" s="14">
        <f>+SUM(F11:F12)</f>
        <v>258852.17347824914</v>
      </c>
      <c r="G10" s="14">
        <f t="shared" ref="G10:AE10" si="14">+SUM(G11:G12)</f>
        <v>128346.75143713824</v>
      </c>
      <c r="H10" s="14">
        <f t="shared" si="14"/>
        <v>240696.64473833548</v>
      </c>
      <c r="I10" s="14">
        <f t="shared" si="14"/>
        <v>265470.74751482712</v>
      </c>
      <c r="J10" s="14">
        <f t="shared" si="14"/>
        <v>255756.21457669215</v>
      </c>
      <c r="K10" s="14">
        <f t="shared" si="14"/>
        <v>279300.00872959429</v>
      </c>
      <c r="L10" s="14">
        <f t="shared" si="14"/>
        <v>258783.93557757547</v>
      </c>
      <c r="M10" s="14">
        <f t="shared" si="14"/>
        <v>300908.0250278085</v>
      </c>
      <c r="N10" s="14">
        <f t="shared" si="14"/>
        <v>172918.17567686152</v>
      </c>
      <c r="O10" s="14">
        <f t="shared" si="14"/>
        <v>230744.05618798736</v>
      </c>
      <c r="P10" s="14">
        <f t="shared" si="14"/>
        <v>71978.578575274194</v>
      </c>
      <c r="Q10" s="22">
        <f>+SUM(E10:P10)</f>
        <v>2659139.7744829194</v>
      </c>
      <c r="R10" s="14">
        <f t="shared" si="14"/>
        <v>73833.942821575285</v>
      </c>
      <c r="S10" s="14">
        <f t="shared" si="14"/>
        <v>66023.881864594514</v>
      </c>
      <c r="T10" s="14">
        <f t="shared" si="14"/>
        <v>72545.388987023616</v>
      </c>
      <c r="U10" s="14">
        <f t="shared" si="14"/>
        <v>76041.738167507283</v>
      </c>
      <c r="V10" s="14">
        <f t="shared" si="14"/>
        <v>76728.679516971562</v>
      </c>
      <c r="W10" s="14">
        <f t="shared" si="14"/>
        <v>73401.197505097807</v>
      </c>
      <c r="X10" s="14">
        <f t="shared" si="14"/>
        <v>75380.345272354345</v>
      </c>
      <c r="Y10" s="14">
        <f t="shared" si="14"/>
        <v>74869.140436359638</v>
      </c>
      <c r="Z10" s="14">
        <f t="shared" si="14"/>
        <v>74635.43439058002</v>
      </c>
      <c r="AA10" s="14">
        <f t="shared" si="14"/>
        <v>78331.173880709917</v>
      </c>
      <c r="AB10" s="14">
        <f t="shared" si="14"/>
        <v>75006.353757646517</v>
      </c>
      <c r="AC10" s="14">
        <f t="shared" si="14"/>
        <v>74867.39</v>
      </c>
      <c r="AD10" s="14">
        <f t="shared" si="14"/>
        <v>891664.66660042061</v>
      </c>
      <c r="AE10" s="14">
        <f t="shared" si="14"/>
        <v>77800.358211197003</v>
      </c>
      <c r="AF10" s="14">
        <f t="shared" ref="AF10:AG10" si="15">+SUM(AF11:AF12)</f>
        <v>71957.232940985661</v>
      </c>
      <c r="AG10" s="14">
        <f t="shared" si="15"/>
        <v>85439.025485043545</v>
      </c>
      <c r="AH10" s="14">
        <f>+SUM(AH11:AH12)</f>
        <v>72640.717824394465</v>
      </c>
      <c r="AI10" s="14">
        <f>+SUM(AI11:AI12)</f>
        <v>84891.132887055719</v>
      </c>
      <c r="AJ10" s="14">
        <f>+SUM(AJ11:AJ12)</f>
        <v>78003.883969725532</v>
      </c>
      <c r="AK10" s="14">
        <f>+SUM(AK11:AK12)</f>
        <v>83541.164865152386</v>
      </c>
      <c r="AL10" s="14">
        <f t="shared" ref="AL10:AP10" si="16">+SUM(AL11:AL12)</f>
        <v>81590.714777544068</v>
      </c>
      <c r="AM10" s="14">
        <f t="shared" si="16"/>
        <v>77895.340000000011</v>
      </c>
      <c r="AN10" s="14">
        <f t="shared" si="16"/>
        <v>79968.830000000016</v>
      </c>
      <c r="AO10" s="14">
        <f t="shared" si="16"/>
        <v>78877.909999999989</v>
      </c>
      <c r="AP10" s="14">
        <f t="shared" si="16"/>
        <v>79596.680000000008</v>
      </c>
      <c r="AQ10" s="14">
        <f t="shared" ref="AQ10:AQ17" si="17">+SUM(AE10:AP10)</f>
        <v>952202.99096109834</v>
      </c>
      <c r="AR10" s="14">
        <f t="shared" ref="AR10:AT10" si="18">+SUM(AR11:AR12)</f>
        <v>83666.100000000006</v>
      </c>
      <c r="AS10" s="14">
        <f t="shared" si="18"/>
        <v>82156.46083403223</v>
      </c>
      <c r="AT10" s="14">
        <f t="shared" si="18"/>
        <v>87343.819999999992</v>
      </c>
      <c r="AU10" s="14">
        <f>+SUM(AU11:AU12)</f>
        <v>82834.544401007792</v>
      </c>
      <c r="AV10" s="14">
        <f>+SUM(AV11:AV12)</f>
        <v>82031.959999999992</v>
      </c>
      <c r="AW10" s="14">
        <f>+SUM(AW11:AW12)</f>
        <v>80496.448781736937</v>
      </c>
      <c r="AX10" s="14">
        <f>+SUM(AX11:AX12)</f>
        <v>81844.978698434337</v>
      </c>
      <c r="AY10" s="14">
        <f t="shared" ref="AY10" si="19">+SUM(AY11:AY12)</f>
        <v>88141.095851999999</v>
      </c>
      <c r="AZ10" s="14">
        <f t="shared" ref="AZ10" si="20">+SUM(AZ11:AZ12)</f>
        <v>84064.660220293008</v>
      </c>
      <c r="BA10" s="14">
        <f t="shared" ref="BA10" si="21">+SUM(BA11:BA12)</f>
        <v>76611.80060799999</v>
      </c>
      <c r="BB10" s="14">
        <f t="shared" ref="BB10" si="22">+SUM(BB11:BB12)</f>
        <v>78182.123106000014</v>
      </c>
      <c r="BC10" s="14">
        <f t="shared" ref="BC10" si="23">+SUM(BC11:BC12)</f>
        <v>75666.223598000011</v>
      </c>
      <c r="BD10" s="14">
        <f t="shared" ref="BD10:BD17" si="24">+SUM(AR10:BC10)</f>
        <v>983040.21609950438</v>
      </c>
      <c r="BE10" s="14">
        <f t="shared" ref="BE10:BF10" si="25">+SUM(BE11:BE12)</f>
        <v>91053.947296000028</v>
      </c>
      <c r="BF10" s="14">
        <f t="shared" si="25"/>
        <v>79453.539575574934</v>
      </c>
      <c r="BG10" s="14">
        <f t="shared" ref="BG10:BH10" si="26">+SUM(BG11:BG12)</f>
        <v>90844.700554804323</v>
      </c>
      <c r="BH10" s="14">
        <f t="shared" si="26"/>
        <v>88476.466624473003</v>
      </c>
      <c r="BI10" s="14">
        <f t="shared" ref="BI10:BJ10" si="27">+SUM(BI11:BI12)</f>
        <v>83516.950589370783</v>
      </c>
      <c r="BJ10" s="14">
        <f t="shared" si="27"/>
        <v>90660.860163999983</v>
      </c>
      <c r="BK10" s="14">
        <f t="shared" ref="BK10:BL10" si="28">+SUM(BK11:BK12)</f>
        <v>83600.636226000002</v>
      </c>
      <c r="BL10" s="14">
        <f t="shared" si="28"/>
        <v>82755.689803000001</v>
      </c>
      <c r="BM10" s="14">
        <f t="shared" ref="BM10:BN10" si="29">+SUM(BM11:BM12)</f>
        <v>76582.785921000002</v>
      </c>
      <c r="BN10" s="14">
        <f t="shared" si="29"/>
        <v>80132.077143343893</v>
      </c>
      <c r="BO10" s="14">
        <f t="shared" ref="BO10:BP10" si="30">+SUM(BO11:BO12)</f>
        <v>78526.28</v>
      </c>
      <c r="BP10" s="14">
        <f t="shared" si="30"/>
        <v>83210.45</v>
      </c>
      <c r="BQ10" s="14">
        <f t="shared" si="13"/>
        <v>1008814.3838975669</v>
      </c>
      <c r="BR10" s="14">
        <f t="shared" ref="BR10:BS10" si="31">+SUM(BR11:BR12)</f>
        <v>90072.763529000018</v>
      </c>
      <c r="BS10" s="14">
        <f t="shared" si="31"/>
        <v>83353.768229000008</v>
      </c>
      <c r="BT10" s="14">
        <f t="shared" ref="BT10" si="32">+SUM(BT11:BT12)</f>
        <v>89590.074361999999</v>
      </c>
    </row>
    <row r="11" spans="1:73">
      <c r="A11" s="9">
        <v>1290900</v>
      </c>
      <c r="B11" s="80" t="s">
        <v>21</v>
      </c>
      <c r="C11" s="81" t="s">
        <v>20</v>
      </c>
      <c r="D11" s="81" t="s">
        <v>22</v>
      </c>
      <c r="E11" s="11">
        <v>164097.17611508013</v>
      </c>
      <c r="F11" s="11">
        <v>160346.92486063545</v>
      </c>
      <c r="G11" s="11">
        <v>88269.792146327716</v>
      </c>
      <c r="H11" s="11">
        <v>199862.26383117476</v>
      </c>
      <c r="I11" s="11">
        <v>220433.41998783225</v>
      </c>
      <c r="J11" s="11">
        <v>212366.96543800304</v>
      </c>
      <c r="K11" s="11">
        <v>231916.53582644626</v>
      </c>
      <c r="L11" s="11">
        <v>214881.03111658187</v>
      </c>
      <c r="M11" s="11">
        <v>249858.73464254045</v>
      </c>
      <c r="N11" s="11">
        <v>137345.77412354836</v>
      </c>
      <c r="O11" s="11">
        <v>187808.16824030201</v>
      </c>
      <c r="P11" s="11">
        <v>43661.909869872579</v>
      </c>
      <c r="Q11" s="21">
        <f>+SUM(E11:P11)</f>
        <v>2110848.6961983452</v>
      </c>
      <c r="R11" s="11">
        <v>42635.156461918195</v>
      </c>
      <c r="S11" s="11">
        <v>40296.260322264789</v>
      </c>
      <c r="T11" s="11">
        <v>43883.355766384702</v>
      </c>
      <c r="U11" s="11">
        <v>47688.688178933357</v>
      </c>
      <c r="V11" s="11">
        <v>48136.34556157262</v>
      </c>
      <c r="W11" s="11">
        <v>45445.939055161274</v>
      </c>
      <c r="X11" s="11">
        <v>47223.453975689823</v>
      </c>
      <c r="Y11" s="11">
        <v>47125.15267175097</v>
      </c>
      <c r="Z11" s="11">
        <v>47633.179252634865</v>
      </c>
      <c r="AA11" s="11">
        <v>50499.107825356979</v>
      </c>
      <c r="AB11" s="11">
        <v>48100.199391136695</v>
      </c>
      <c r="AC11" s="11">
        <v>47363.23</v>
      </c>
      <c r="AD11" s="21">
        <f>+SUM(R11:AC11)</f>
        <v>556030.06846280431</v>
      </c>
      <c r="AE11" s="11">
        <v>50059.026481658286</v>
      </c>
      <c r="AF11" s="11">
        <v>46812.253226282475</v>
      </c>
      <c r="AG11" s="11">
        <v>57312.647407363198</v>
      </c>
      <c r="AH11" s="11">
        <v>44903.936319269706</v>
      </c>
      <c r="AI11" s="11">
        <v>56756.914013361129</v>
      </c>
      <c r="AJ11" s="11">
        <v>50301.338817022974</v>
      </c>
      <c r="AK11" s="11">
        <v>55674.773346227361</v>
      </c>
      <c r="AL11" s="11">
        <v>52509.791213266857</v>
      </c>
      <c r="AM11" s="11">
        <v>49680.12</v>
      </c>
      <c r="AN11" s="11">
        <v>51205.220000000008</v>
      </c>
      <c r="AO11" s="11">
        <v>50761.399999999994</v>
      </c>
      <c r="AP11" s="11">
        <v>50520.210000000006</v>
      </c>
      <c r="AQ11" s="21">
        <f t="shared" si="17"/>
        <v>616497.63082445192</v>
      </c>
      <c r="AR11" s="11">
        <v>53998.71</v>
      </c>
      <c r="AS11" s="11">
        <v>53877.937504380825</v>
      </c>
      <c r="AT11" s="11">
        <v>56919.38</v>
      </c>
      <c r="AU11" s="11">
        <v>55422.982176526057</v>
      </c>
      <c r="AV11" s="11">
        <v>54613.369999999995</v>
      </c>
      <c r="AW11" s="11">
        <v>54494.409999999996</v>
      </c>
      <c r="AX11" s="11">
        <v>55907.089246035386</v>
      </c>
      <c r="AY11" s="11">
        <v>61099.807669999995</v>
      </c>
      <c r="AZ11" s="11">
        <v>58179.898535816719</v>
      </c>
      <c r="BA11" s="11">
        <v>49965.569409999996</v>
      </c>
      <c r="BB11" s="11">
        <v>52068.132340000011</v>
      </c>
      <c r="BC11" s="11">
        <v>48822.020590000007</v>
      </c>
      <c r="BD11" s="21">
        <f t="shared" si="24"/>
        <v>655369.30747275893</v>
      </c>
      <c r="BE11" s="11">
        <v>62887.978020000017</v>
      </c>
      <c r="BF11" s="11">
        <v>51453.745794282593</v>
      </c>
      <c r="BG11" s="11">
        <v>59562.783856057824</v>
      </c>
      <c r="BH11" s="11">
        <v>63418.01598150505</v>
      </c>
      <c r="BI11" s="11">
        <v>56780.680027866423</v>
      </c>
      <c r="BJ11" s="11">
        <v>63506.331929999986</v>
      </c>
      <c r="BK11" s="11">
        <v>55462.988420000001</v>
      </c>
      <c r="BL11" s="11">
        <v>56736.495450000002</v>
      </c>
      <c r="BM11" s="11">
        <v>51173.693470000006</v>
      </c>
      <c r="BN11" s="11">
        <v>52380.92049618638</v>
      </c>
      <c r="BO11" s="11">
        <v>50247.16</v>
      </c>
      <c r="BP11" s="11">
        <v>51917.06</v>
      </c>
      <c r="BQ11" s="21">
        <f t="shared" si="13"/>
        <v>675527.85344589828</v>
      </c>
      <c r="BR11" s="11">
        <v>57146.406370000004</v>
      </c>
      <c r="BS11" s="11">
        <v>54644.687120000002</v>
      </c>
      <c r="BT11" s="11">
        <v>58743.69283</v>
      </c>
    </row>
    <row r="12" spans="1:73">
      <c r="A12" s="9">
        <v>1290900</v>
      </c>
      <c r="B12" s="80" t="s">
        <v>21</v>
      </c>
      <c r="C12" s="81" t="s">
        <v>20</v>
      </c>
      <c r="D12" s="81" t="s">
        <v>23</v>
      </c>
      <c r="E12" s="10">
        <v>31287.286847496562</v>
      </c>
      <c r="F12" s="11">
        <v>98505.248617613688</v>
      </c>
      <c r="G12" s="11">
        <v>40076.959290810519</v>
      </c>
      <c r="H12" s="11">
        <v>40834.380907160725</v>
      </c>
      <c r="I12" s="11">
        <v>45037.327526994872</v>
      </c>
      <c r="J12" s="11">
        <v>43389.249138689091</v>
      </c>
      <c r="K12" s="11">
        <v>47383.472903148031</v>
      </c>
      <c r="L12" s="11">
        <v>43902.904460993588</v>
      </c>
      <c r="M12" s="11">
        <v>51049.290385268025</v>
      </c>
      <c r="N12" s="11">
        <v>35572.401553313168</v>
      </c>
      <c r="O12" s="11">
        <v>42935.887947685347</v>
      </c>
      <c r="P12" s="11">
        <v>28316.668705401611</v>
      </c>
      <c r="Q12" s="21">
        <f>+SUM(E12:P12)</f>
        <v>548291.07828457525</v>
      </c>
      <c r="R12" s="11">
        <v>31198.78635965709</v>
      </c>
      <c r="S12" s="11">
        <v>25727.621542329729</v>
      </c>
      <c r="T12" s="11">
        <v>28662.033220638921</v>
      </c>
      <c r="U12" s="11">
        <v>28353.049988573926</v>
      </c>
      <c r="V12" s="11">
        <v>28592.333955398946</v>
      </c>
      <c r="W12" s="11">
        <v>27955.258449936533</v>
      </c>
      <c r="X12" s="11">
        <v>28156.891296664529</v>
      </c>
      <c r="Y12" s="11">
        <v>27743.987764608672</v>
      </c>
      <c r="Z12" s="11">
        <v>27002.255137945154</v>
      </c>
      <c r="AA12" s="11">
        <v>27832.066055352934</v>
      </c>
      <c r="AB12" s="11">
        <v>26906.154366509818</v>
      </c>
      <c r="AC12" s="11">
        <v>27504.16</v>
      </c>
      <c r="AD12" s="21">
        <f>+SUM(R12:AC12)</f>
        <v>335634.59813761624</v>
      </c>
      <c r="AE12" s="11">
        <v>27741.331729538713</v>
      </c>
      <c r="AF12" s="11">
        <v>25144.97971470319</v>
      </c>
      <c r="AG12" s="11">
        <v>28126.378077680351</v>
      </c>
      <c r="AH12" s="11">
        <v>27736.781505124756</v>
      </c>
      <c r="AI12" s="11">
        <v>28134.21887369459</v>
      </c>
      <c r="AJ12" s="11">
        <v>27702.545152702558</v>
      </c>
      <c r="AK12" s="11">
        <v>27866.391518925018</v>
      </c>
      <c r="AL12" s="11">
        <v>29080.923564277215</v>
      </c>
      <c r="AM12" s="11">
        <v>28215.220000000005</v>
      </c>
      <c r="AN12" s="11">
        <v>28763.61</v>
      </c>
      <c r="AO12" s="11">
        <v>28116.51</v>
      </c>
      <c r="AP12" s="11">
        <v>29076.469999999998</v>
      </c>
      <c r="AQ12" s="21">
        <f t="shared" si="17"/>
        <v>335705.36013664637</v>
      </c>
      <c r="AR12" s="11">
        <v>29667.39</v>
      </c>
      <c r="AS12" s="11">
        <v>28278.523329651409</v>
      </c>
      <c r="AT12" s="11">
        <v>30424.439999999995</v>
      </c>
      <c r="AU12" s="11">
        <v>27411.562224481735</v>
      </c>
      <c r="AV12" s="11">
        <v>27418.59</v>
      </c>
      <c r="AW12" s="11">
        <v>26002.038781736941</v>
      </c>
      <c r="AX12" s="11">
        <v>25937.889452398947</v>
      </c>
      <c r="AY12" s="11">
        <v>27041.288182000008</v>
      </c>
      <c r="AZ12" s="11">
        <v>25884.761684476296</v>
      </c>
      <c r="BA12" s="11">
        <v>26646.231198000001</v>
      </c>
      <c r="BB12" s="11">
        <v>26113.990765999995</v>
      </c>
      <c r="BC12" s="11">
        <v>26844.203007999997</v>
      </c>
      <c r="BD12" s="21">
        <f t="shared" si="24"/>
        <v>327670.9086267454</v>
      </c>
      <c r="BE12" s="11">
        <v>28165.969276000003</v>
      </c>
      <c r="BF12" s="11">
        <v>27999.793781292345</v>
      </c>
      <c r="BG12" s="11">
        <v>31281.9166987465</v>
      </c>
      <c r="BH12" s="11">
        <v>25058.450642967953</v>
      </c>
      <c r="BI12" s="11">
        <v>26736.270561504356</v>
      </c>
      <c r="BJ12" s="11">
        <v>27154.528234000005</v>
      </c>
      <c r="BK12" s="11">
        <v>28137.647806000001</v>
      </c>
      <c r="BL12" s="11">
        <v>26019.194353000003</v>
      </c>
      <c r="BM12" s="11">
        <v>25409.092451000004</v>
      </c>
      <c r="BN12" s="11">
        <v>27751.156647157517</v>
      </c>
      <c r="BO12" s="11">
        <v>28279.119999999999</v>
      </c>
      <c r="BP12" s="11">
        <v>31293.39</v>
      </c>
      <c r="BQ12" s="21">
        <f t="shared" si="13"/>
        <v>333286.53045166866</v>
      </c>
      <c r="BR12" s="11">
        <v>32926.357159000007</v>
      </c>
      <c r="BS12" s="11">
        <v>28709.081108999999</v>
      </c>
      <c r="BT12" s="11">
        <v>30846.381532000003</v>
      </c>
    </row>
    <row r="13" spans="1:73" ht="15" thickBot="1">
      <c r="A13" s="9"/>
      <c r="C13" s="8" t="s">
        <v>24</v>
      </c>
      <c r="D13" s="8"/>
      <c r="E13" s="14">
        <f>+SUM(E14:E17)</f>
        <v>1290708.4082809014</v>
      </c>
      <c r="F13" s="14">
        <f>+SUM(F14:F17)</f>
        <v>1258822.5578047906</v>
      </c>
      <c r="G13" s="14">
        <f t="shared" ref="G13:AE13" si="33">+SUM(G14:G17)</f>
        <v>2858940.6210567504</v>
      </c>
      <c r="H13" s="14">
        <f t="shared" si="33"/>
        <v>2955521.1534069809</v>
      </c>
      <c r="I13" s="14">
        <f t="shared" si="33"/>
        <v>3259723.0873068022</v>
      </c>
      <c r="J13" s="14">
        <f t="shared" si="33"/>
        <v>3140438.0527134053</v>
      </c>
      <c r="K13" s="14">
        <f t="shared" si="33"/>
        <v>3429532.9909748328</v>
      </c>
      <c r="L13" s="14">
        <f t="shared" si="33"/>
        <v>3177615.5275986628</v>
      </c>
      <c r="M13" s="14">
        <f t="shared" si="33"/>
        <v>3694858.4562382195</v>
      </c>
      <c r="N13" s="14">
        <f t="shared" si="33"/>
        <v>3539988.4993485729</v>
      </c>
      <c r="O13" s="14">
        <f t="shared" si="33"/>
        <v>3268530.0307051553</v>
      </c>
      <c r="P13" s="14">
        <f t="shared" si="33"/>
        <v>2736447.9351715725</v>
      </c>
      <c r="Q13" s="22">
        <f>+SUM(E13:P13)</f>
        <v>34611127.320606649</v>
      </c>
      <c r="R13" s="14">
        <f t="shared" si="33"/>
        <v>2565721.4140061853</v>
      </c>
      <c r="S13" s="14">
        <f t="shared" si="33"/>
        <v>2556635.4566641427</v>
      </c>
      <c r="T13" s="14">
        <f t="shared" si="33"/>
        <v>3123646.9789902177</v>
      </c>
      <c r="U13" s="14">
        <f t="shared" si="33"/>
        <v>3175170.4654921843</v>
      </c>
      <c r="V13" s="14">
        <f t="shared" si="33"/>
        <v>3216182.7529083584</v>
      </c>
      <c r="W13" s="14">
        <f t="shared" si="33"/>
        <v>2794760.6855900865</v>
      </c>
      <c r="X13" s="14">
        <f t="shared" si="33"/>
        <v>3073085.4592021923</v>
      </c>
      <c r="Y13" s="14">
        <f t="shared" si="33"/>
        <v>3005132.6261921427</v>
      </c>
      <c r="Z13" s="14">
        <f t="shared" si="33"/>
        <v>2817845.636656879</v>
      </c>
      <c r="AA13" s="14">
        <f t="shared" si="33"/>
        <v>3241930.801380598</v>
      </c>
      <c r="AB13" s="14">
        <f t="shared" si="33"/>
        <v>2794956.7969379839</v>
      </c>
      <c r="AC13" s="14">
        <f t="shared" si="33"/>
        <v>2843826.6</v>
      </c>
      <c r="AD13" s="14">
        <f t="shared" si="33"/>
        <v>35208895.674020968</v>
      </c>
      <c r="AE13" s="14">
        <f t="shared" si="33"/>
        <v>2538119.6494792192</v>
      </c>
      <c r="AF13" s="14">
        <f t="shared" ref="AF13:AP13" si="34">+SUM(AF14:AF17)</f>
        <v>2707513.0472079208</v>
      </c>
      <c r="AG13" s="14">
        <f t="shared" si="34"/>
        <v>3129212.959327328</v>
      </c>
      <c r="AH13" s="14">
        <f t="shared" si="34"/>
        <v>2688798.6107235393</v>
      </c>
      <c r="AI13" s="14">
        <f t="shared" si="34"/>
        <v>3400269.511928176</v>
      </c>
      <c r="AJ13" s="14">
        <f t="shared" si="34"/>
        <v>3230881.5656998334</v>
      </c>
      <c r="AK13" s="14">
        <f t="shared" si="34"/>
        <v>3454926.2745723068</v>
      </c>
      <c r="AL13" s="14">
        <f t="shared" si="34"/>
        <v>3441660.9824601803</v>
      </c>
      <c r="AM13" s="14">
        <f t="shared" si="34"/>
        <v>3394176.97</v>
      </c>
      <c r="AN13" s="14">
        <f t="shared" si="34"/>
        <v>3449752.0200000005</v>
      </c>
      <c r="AO13" s="14">
        <f t="shared" si="34"/>
        <v>3480030.37</v>
      </c>
      <c r="AP13" s="14">
        <f t="shared" si="34"/>
        <v>3378491.7600000002</v>
      </c>
      <c r="AQ13" s="14">
        <f t="shared" si="17"/>
        <v>38293833.721398503</v>
      </c>
      <c r="AR13" s="14">
        <f t="shared" ref="AR13:BC13" si="35">+SUM(AR14:AR17)</f>
        <v>3307838.1100000013</v>
      </c>
      <c r="AS13" s="14">
        <f t="shared" si="35"/>
        <v>3255397.6354662217</v>
      </c>
      <c r="AT13" s="14">
        <f t="shared" si="35"/>
        <v>3425270.2919999999</v>
      </c>
      <c r="AU13" s="14">
        <f t="shared" si="35"/>
        <v>3051020.4240451283</v>
      </c>
      <c r="AV13" s="14">
        <f t="shared" si="35"/>
        <v>3161604.5100000002</v>
      </c>
      <c r="AW13" s="14">
        <f t="shared" si="35"/>
        <v>3275010.28</v>
      </c>
      <c r="AX13" s="14">
        <f t="shared" si="35"/>
        <v>3101494.586314512</v>
      </c>
      <c r="AY13" s="14">
        <f t="shared" si="35"/>
        <v>3337585.1316285804</v>
      </c>
      <c r="AZ13" s="14">
        <f t="shared" si="35"/>
        <v>3201239.2913593003</v>
      </c>
      <c r="BA13" s="14">
        <f t="shared" si="35"/>
        <v>3192614.7557206005</v>
      </c>
      <c r="BB13" s="14">
        <f t="shared" si="35"/>
        <v>2863576.8825169196</v>
      </c>
      <c r="BC13" s="14">
        <f t="shared" si="35"/>
        <v>3005658.1806566995</v>
      </c>
      <c r="BD13" s="14">
        <f t="shared" si="24"/>
        <v>38178310.079707965</v>
      </c>
      <c r="BE13" s="14">
        <f t="shared" ref="BE13:BF13" si="36">+SUM(BE14:BE17)</f>
        <v>3108418.4296889994</v>
      </c>
      <c r="BF13" s="14">
        <f t="shared" si="36"/>
        <v>2923446.7927547591</v>
      </c>
      <c r="BG13" s="14">
        <f t="shared" ref="BG13:BH13" si="37">+SUM(BG14:BG17)</f>
        <v>3364575.7254136791</v>
      </c>
      <c r="BH13" s="14">
        <f t="shared" si="37"/>
        <v>3387846.7609173558</v>
      </c>
      <c r="BI13" s="14">
        <f t="shared" ref="BI13:BJ13" si="38">+SUM(BI14:BI17)</f>
        <v>3733088.6646781806</v>
      </c>
      <c r="BJ13" s="14">
        <f t="shared" si="38"/>
        <v>3294299.4025803311</v>
      </c>
      <c r="BK13" s="14">
        <f t="shared" ref="BK13:BL13" si="39">+SUM(BK14:BK17)</f>
        <v>3186147.9001785</v>
      </c>
      <c r="BL13" s="14">
        <f t="shared" si="39"/>
        <v>3475384.8972236295</v>
      </c>
      <c r="BM13" s="14">
        <f t="shared" ref="BM13:BN13" si="40">+SUM(BM14:BM17)</f>
        <v>3399836.0570934005</v>
      </c>
      <c r="BN13" s="14">
        <f t="shared" si="40"/>
        <v>3458110.0613629837</v>
      </c>
      <c r="BO13" s="14">
        <f t="shared" ref="BO13:BP13" si="41">+SUM(BO14:BO17)</f>
        <v>2817772.65</v>
      </c>
      <c r="BP13" s="14">
        <f t="shared" si="41"/>
        <v>2793216.42</v>
      </c>
      <c r="BQ13" s="14">
        <f t="shared" si="13"/>
        <v>38942143.76189182</v>
      </c>
      <c r="BR13" s="14">
        <f t="shared" ref="BR13:BS13" si="42">+SUM(BR14:BR17)</f>
        <v>3279420.0736925001</v>
      </c>
      <c r="BS13" s="14">
        <f t="shared" si="42"/>
        <v>2878742.1951406007</v>
      </c>
      <c r="BT13" s="14">
        <f t="shared" ref="BT13" si="43">+SUM(BT14:BT17)</f>
        <v>3008962.8270438006</v>
      </c>
    </row>
    <row r="14" spans="1:73">
      <c r="A14" s="9">
        <v>1112120</v>
      </c>
      <c r="B14" s="80" t="s">
        <v>25</v>
      </c>
      <c r="C14" s="81" t="s">
        <v>24</v>
      </c>
      <c r="D14" s="81" t="s">
        <v>92</v>
      </c>
      <c r="E14" s="11">
        <v>924181.48196500086</v>
      </c>
      <c r="F14" s="11">
        <v>901350.36661961023</v>
      </c>
      <c r="G14" s="11">
        <v>2221771.8930662205</v>
      </c>
      <c r="H14" s="11">
        <v>2216380.826069844</v>
      </c>
      <c r="I14" s="11">
        <v>2444505.5115493275</v>
      </c>
      <c r="J14" s="11">
        <v>2355052.2307954011</v>
      </c>
      <c r="K14" s="11">
        <v>2571847.9987221016</v>
      </c>
      <c r="L14" s="11">
        <v>2382932.0659312089</v>
      </c>
      <c r="M14" s="11">
        <v>2770818.7532368987</v>
      </c>
      <c r="N14" s="11">
        <v>2748485.7373562162</v>
      </c>
      <c r="O14" s="11">
        <v>2466422.9140254376</v>
      </c>
      <c r="P14" s="11">
        <v>2069899.4404407635</v>
      </c>
      <c r="Q14" s="21">
        <f>+SUM(E14:P14)</f>
        <v>26073649.219778027</v>
      </c>
      <c r="R14" s="11">
        <v>1918075.9454045177</v>
      </c>
      <c r="S14" s="11">
        <v>1922551.5240872761</v>
      </c>
      <c r="T14" s="11">
        <v>2369634.373872166</v>
      </c>
      <c r="U14" s="11">
        <v>2410953.4145139228</v>
      </c>
      <c r="V14" s="11">
        <v>2437672.599076197</v>
      </c>
      <c r="W14" s="11">
        <v>2110391.0941994996</v>
      </c>
      <c r="X14" s="11">
        <v>2327431.5280034724</v>
      </c>
      <c r="Y14" s="11">
        <v>2272664.4604776637</v>
      </c>
      <c r="Z14" s="11">
        <v>2124711.1539717498</v>
      </c>
      <c r="AA14" s="11">
        <v>2458020.4207985774</v>
      </c>
      <c r="AB14" s="11">
        <v>2107986.922211857</v>
      </c>
      <c r="AC14" s="11">
        <v>2143675</v>
      </c>
      <c r="AD14" s="21">
        <f>+SUM(R14:AC14)</f>
        <v>26603768.436616898</v>
      </c>
      <c r="AE14" s="11">
        <v>1900035.6270209511</v>
      </c>
      <c r="AF14" s="11">
        <v>2044662.5669550733</v>
      </c>
      <c r="AG14" s="11">
        <v>2368873.1694426141</v>
      </c>
      <c r="AH14" s="11">
        <v>2045384.2620427632</v>
      </c>
      <c r="AI14" s="11">
        <v>2585331.6051575537</v>
      </c>
      <c r="AJ14" s="11">
        <v>2464798.2078196025</v>
      </c>
      <c r="AK14" s="11">
        <v>2632717.9629316828</v>
      </c>
      <c r="AL14" s="11">
        <v>2617484.1660436448</v>
      </c>
      <c r="AM14" s="11">
        <v>2589437.0880000005</v>
      </c>
      <c r="AN14" s="11">
        <v>2634896.64</v>
      </c>
      <c r="AO14" s="11">
        <v>2662629</v>
      </c>
      <c r="AP14" s="11">
        <v>2579159.0160000003</v>
      </c>
      <c r="AQ14" s="21">
        <f t="shared" si="17"/>
        <v>29125409.311413884</v>
      </c>
      <c r="AR14" s="11">
        <v>2541582.2800000007</v>
      </c>
      <c r="AS14" s="11">
        <v>2490494.4943296392</v>
      </c>
      <c r="AT14" s="11">
        <v>2607093.1519999998</v>
      </c>
      <c r="AU14" s="11">
        <v>2309969.6813154542</v>
      </c>
      <c r="AV14" s="11">
        <v>2407651.264</v>
      </c>
      <c r="AW14" s="11">
        <v>2523458.9040000001</v>
      </c>
      <c r="AX14" s="11">
        <v>2472188.6302019809</v>
      </c>
      <c r="AY14" s="11">
        <v>2660170.6942762244</v>
      </c>
      <c r="AZ14" s="48">
        <v>2551443.5821588505</v>
      </c>
      <c r="BA14" s="48">
        <v>2544286.8399563204</v>
      </c>
      <c r="BB14" s="48">
        <v>2281275.656734576</v>
      </c>
      <c r="BC14" s="48">
        <v>2394279.7567519997</v>
      </c>
      <c r="BD14" s="21">
        <f t="shared" si="24"/>
        <v>29783894.935725044</v>
      </c>
      <c r="BE14" s="48">
        <v>2476787.1307119997</v>
      </c>
      <c r="BF14" s="48">
        <v>2329796.1519390899</v>
      </c>
      <c r="BG14" s="48">
        <v>2681521.0354844015</v>
      </c>
      <c r="BH14" s="48">
        <v>2701113.9965964612</v>
      </c>
      <c r="BI14" s="48">
        <v>2977934.9436898837</v>
      </c>
      <c r="BJ14" s="48">
        <v>2626965.923839225</v>
      </c>
      <c r="BK14" s="48">
        <v>2504054.1696650069</v>
      </c>
      <c r="BL14" s="48">
        <v>2771266.9850606639</v>
      </c>
      <c r="BM14" s="48">
        <v>2686641.8692023456</v>
      </c>
      <c r="BN14" s="48">
        <v>2780572.2585167531</v>
      </c>
      <c r="BO14" s="48">
        <v>2244980.67</v>
      </c>
      <c r="BP14" s="48">
        <v>2224997.14</v>
      </c>
      <c r="BQ14" s="21">
        <f t="shared" si="13"/>
        <v>31006632.274705827</v>
      </c>
      <c r="BR14" s="48">
        <v>2613456.8540000003</v>
      </c>
      <c r="BS14" s="48">
        <v>2293966.6246880004</v>
      </c>
      <c r="BT14" s="48">
        <v>2397108.7021280001</v>
      </c>
      <c r="BU14" s="37"/>
    </row>
    <row r="15" spans="1:73">
      <c r="A15" s="9">
        <v>1110101</v>
      </c>
      <c r="B15" s="80" t="s">
        <v>25</v>
      </c>
      <c r="C15" s="81" t="s">
        <v>24</v>
      </c>
      <c r="D15" s="81" t="s">
        <v>93</v>
      </c>
      <c r="E15" s="11">
        <v>231045.37049125021</v>
      </c>
      <c r="F15" s="11">
        <v>225337.59165490256</v>
      </c>
      <c r="G15" s="11">
        <v>555442.97326655511</v>
      </c>
      <c r="H15" s="11">
        <v>554095.20651746099</v>
      </c>
      <c r="I15" s="11">
        <v>611126.37788733188</v>
      </c>
      <c r="J15" s="11">
        <v>588763.05769885029</v>
      </c>
      <c r="K15" s="11">
        <v>642961.99968052539</v>
      </c>
      <c r="L15" s="11">
        <v>595733.01648280222</v>
      </c>
      <c r="M15" s="11">
        <v>692704.68830922467</v>
      </c>
      <c r="N15" s="11">
        <v>687121.43433905405</v>
      </c>
      <c r="O15" s="11">
        <v>616605.72850635939</v>
      </c>
      <c r="P15" s="11">
        <v>517474.86011019087</v>
      </c>
      <c r="Q15" s="21">
        <f t="shared" ref="Q15:Q17" si="44">+SUM(E15:P15)</f>
        <v>6518412.3049445068</v>
      </c>
      <c r="R15" s="11">
        <v>479518.98635112942</v>
      </c>
      <c r="S15" s="11">
        <v>480637.88102181902</v>
      </c>
      <c r="T15" s="11">
        <v>592408.59346804151</v>
      </c>
      <c r="U15" s="11">
        <v>602738.35362848069</v>
      </c>
      <c r="V15" s="11">
        <v>609418.14976904925</v>
      </c>
      <c r="W15" s="11">
        <v>527597.7735498749</v>
      </c>
      <c r="X15" s="11">
        <v>581857.88200086809</v>
      </c>
      <c r="Y15" s="11">
        <v>568166.11511941592</v>
      </c>
      <c r="Z15" s="11">
        <v>531177.78849293746</v>
      </c>
      <c r="AA15" s="11">
        <v>614505.10519964434</v>
      </c>
      <c r="AB15" s="11">
        <v>526996.73055296426</v>
      </c>
      <c r="AC15" s="11">
        <v>535918.75</v>
      </c>
      <c r="AD15" s="21">
        <f t="shared" ref="AD15:AD17" si="45">+SUM(R15:AC15)</f>
        <v>6650942.1091542244</v>
      </c>
      <c r="AE15" s="11">
        <v>475008.90675523778</v>
      </c>
      <c r="AF15" s="11">
        <v>511165.64173876832</v>
      </c>
      <c r="AG15" s="11">
        <v>592218.29236065352</v>
      </c>
      <c r="AH15" s="11">
        <v>511346.06551069079</v>
      </c>
      <c r="AI15" s="11">
        <v>646332.90128938842</v>
      </c>
      <c r="AJ15" s="11">
        <v>616199.55195490061</v>
      </c>
      <c r="AK15" s="11">
        <v>658179.49073292071</v>
      </c>
      <c r="AL15" s="11">
        <v>654371.04151091119</v>
      </c>
      <c r="AM15" s="11">
        <v>647359.27200000011</v>
      </c>
      <c r="AN15" s="11">
        <v>658724.16</v>
      </c>
      <c r="AO15" s="11">
        <v>665657.25</v>
      </c>
      <c r="AP15" s="11">
        <v>644789.75400000007</v>
      </c>
      <c r="AQ15" s="21">
        <f t="shared" si="17"/>
        <v>7281352.327853471</v>
      </c>
      <c r="AR15" s="11">
        <v>635395.57000000018</v>
      </c>
      <c r="AS15" s="11">
        <v>622623.62358240981</v>
      </c>
      <c r="AT15" s="11">
        <v>651773.28</v>
      </c>
      <c r="AU15" s="11">
        <v>577492.42032886355</v>
      </c>
      <c r="AV15" s="11">
        <v>601912.81599999999</v>
      </c>
      <c r="AW15" s="11">
        <v>630864.72600000002</v>
      </c>
      <c r="AX15" s="11">
        <v>618047.15755049523</v>
      </c>
      <c r="AY15" s="11">
        <v>665042.67356905609</v>
      </c>
      <c r="AZ15" s="48">
        <v>637860.89553971263</v>
      </c>
      <c r="BA15" s="48">
        <v>636071.70998908009</v>
      </c>
      <c r="BB15" s="48">
        <v>570318.914183644</v>
      </c>
      <c r="BC15" s="48">
        <v>598569.93918799993</v>
      </c>
      <c r="BD15" s="21">
        <f t="shared" si="24"/>
        <v>7445973.7259312617</v>
      </c>
      <c r="BE15" s="48">
        <v>619196.78267799993</v>
      </c>
      <c r="BF15" s="48">
        <v>582449.03798477247</v>
      </c>
      <c r="BG15" s="48">
        <v>670380.25887110038</v>
      </c>
      <c r="BH15" s="48">
        <v>675278.49914911529</v>
      </c>
      <c r="BI15" s="48">
        <v>744483.73592247092</v>
      </c>
      <c r="BJ15" s="48">
        <v>656741.48095980624</v>
      </c>
      <c r="BK15" s="48">
        <v>670870.69645099307</v>
      </c>
      <c r="BL15" s="48">
        <v>692816.74626516597</v>
      </c>
      <c r="BM15" s="48">
        <v>702255.82118915464</v>
      </c>
      <c r="BN15" s="48">
        <v>665381.58785607317</v>
      </c>
      <c r="BO15" s="48">
        <v>561245.17000000004</v>
      </c>
      <c r="BP15" s="48">
        <v>556249.28</v>
      </c>
      <c r="BQ15" s="21">
        <f t="shared" si="13"/>
        <v>7797349.0973266512</v>
      </c>
      <c r="BR15" s="48">
        <v>653364.21350000007</v>
      </c>
      <c r="BS15" s="48">
        <v>573491.6561720001</v>
      </c>
      <c r="BT15" s="48">
        <v>599277.17553200002</v>
      </c>
    </row>
    <row r="16" spans="1:73">
      <c r="A16" s="9">
        <v>3110151</v>
      </c>
      <c r="B16" s="80" t="s">
        <v>25</v>
      </c>
      <c r="C16" s="81" t="s">
        <v>24</v>
      </c>
      <c r="D16" s="81" t="s">
        <v>26</v>
      </c>
      <c r="E16" s="11">
        <v>35915.435154031358</v>
      </c>
      <c r="F16" s="11">
        <v>35028.174958189607</v>
      </c>
      <c r="G16" s="11">
        <v>19319.333037565422</v>
      </c>
      <c r="H16" s="11">
        <v>43743.227923267172</v>
      </c>
      <c r="I16" s="11">
        <v>48245.572463734796</v>
      </c>
      <c r="J16" s="11">
        <v>46480.092812188806</v>
      </c>
      <c r="K16" s="11">
        <v>50758.846074115172</v>
      </c>
      <c r="L16" s="11">
        <v>47030.338495811375</v>
      </c>
      <c r="M16" s="11">
        <v>54685.798952623307</v>
      </c>
      <c r="N16" s="11">
        <v>32799.006538459886</v>
      </c>
      <c r="O16" s="11">
        <v>60191.046713586118</v>
      </c>
      <c r="P16" s="11">
        <v>33295.697538939341</v>
      </c>
      <c r="Q16" s="21">
        <f t="shared" si="44"/>
        <v>507492.57066251244</v>
      </c>
      <c r="R16" s="11">
        <v>33943.901313510309</v>
      </c>
      <c r="S16" s="11">
        <v>30263.629289460481</v>
      </c>
      <c r="T16" s="11">
        <v>32723.512810802709</v>
      </c>
      <c r="U16" s="11">
        <v>32536.522192953624</v>
      </c>
      <c r="V16" s="11">
        <v>34880.438387586903</v>
      </c>
      <c r="W16" s="11">
        <v>32310.348786943028</v>
      </c>
      <c r="X16" s="11">
        <v>32493.205268269441</v>
      </c>
      <c r="Y16" s="11">
        <v>32408.266280840358</v>
      </c>
      <c r="Z16" s="11">
        <v>32494.484062485917</v>
      </c>
      <c r="AA16" s="11">
        <v>34681.794170857102</v>
      </c>
      <c r="AB16" s="11">
        <v>32184.340302484638</v>
      </c>
      <c r="AC16" s="11">
        <v>32111.4</v>
      </c>
      <c r="AD16" s="21">
        <f t="shared" si="45"/>
        <v>393031.84286619455</v>
      </c>
      <c r="AE16" s="11">
        <v>33333.761795681829</v>
      </c>
      <c r="AF16" s="11">
        <v>30255.645365818225</v>
      </c>
      <c r="AG16" s="11">
        <v>33230.275282752118</v>
      </c>
      <c r="AH16" s="11">
        <v>27308.809113642488</v>
      </c>
      <c r="AI16" s="11">
        <v>33734.098586248569</v>
      </c>
      <c r="AJ16" s="11">
        <v>32374.082662722321</v>
      </c>
      <c r="AK16" s="11">
        <v>33688.507837322009</v>
      </c>
      <c r="AL16" s="11">
        <v>33420.678909970498</v>
      </c>
      <c r="AM16" s="11">
        <v>32616.760000000002</v>
      </c>
      <c r="AN16" s="11">
        <v>33741.869999999995</v>
      </c>
      <c r="AO16" s="11">
        <v>32757.849999999995</v>
      </c>
      <c r="AP16" s="11">
        <v>32610.63</v>
      </c>
      <c r="AQ16" s="21">
        <f t="shared" si="17"/>
        <v>389072.96955415804</v>
      </c>
      <c r="AR16" s="11">
        <v>27178.740000000005</v>
      </c>
      <c r="AS16" s="11">
        <v>27210.217120202011</v>
      </c>
      <c r="AT16" s="11">
        <v>33623.340000000004</v>
      </c>
      <c r="AU16" s="11">
        <v>32591.960448915568</v>
      </c>
      <c r="AV16" s="11">
        <v>33557.600000000006</v>
      </c>
      <c r="AW16" s="11">
        <v>32486.280000000006</v>
      </c>
      <c r="AX16" s="11">
        <v>2584.3867691199516</v>
      </c>
      <c r="AY16" s="11">
        <v>2575.2593832999996</v>
      </c>
      <c r="AZ16" s="11">
        <v>2488.7196077938647</v>
      </c>
      <c r="BA16" s="11">
        <v>2569.9237122</v>
      </c>
      <c r="BB16" s="11">
        <v>2478.1448607000002</v>
      </c>
      <c r="BC16" s="11">
        <v>2573.3685217000002</v>
      </c>
      <c r="BD16" s="21">
        <f t="shared" si="24"/>
        <v>201917.9404239314</v>
      </c>
      <c r="BE16" s="11">
        <v>2580.1987260000001</v>
      </c>
      <c r="BF16" s="11">
        <v>2314.7770205018705</v>
      </c>
      <c r="BG16" s="11">
        <v>2564.7447170648452</v>
      </c>
      <c r="BH16" s="11">
        <v>2488.954012785473</v>
      </c>
      <c r="BI16" s="11">
        <v>2582.8118080125278</v>
      </c>
      <c r="BJ16" s="11">
        <v>2497.3246783</v>
      </c>
      <c r="BK16" s="11">
        <v>2569.8372444999995</v>
      </c>
      <c r="BL16" s="11">
        <v>2577.6062358000004</v>
      </c>
      <c r="BM16" s="11">
        <v>2485.3566689000008</v>
      </c>
      <c r="BN16" s="11">
        <v>2591.8809252989304</v>
      </c>
      <c r="BO16" s="11">
        <v>2488.6999999999998</v>
      </c>
      <c r="BP16" s="11">
        <v>2582.25</v>
      </c>
      <c r="BQ16" s="21">
        <f t="shared" si="13"/>
        <v>30324.442037163648</v>
      </c>
      <c r="BR16" s="11">
        <v>2579.3205735000006</v>
      </c>
      <c r="BS16" s="11">
        <v>2326.9544636000001</v>
      </c>
      <c r="BT16" s="11">
        <v>2567.4058197999998</v>
      </c>
    </row>
    <row r="17" spans="1:73">
      <c r="A17" s="9">
        <v>1190900</v>
      </c>
      <c r="B17" s="80" t="s">
        <v>25</v>
      </c>
      <c r="C17" s="81" t="s">
        <v>24</v>
      </c>
      <c r="D17" s="81" t="s">
        <v>27</v>
      </c>
      <c r="E17" s="11">
        <v>99566.120670619057</v>
      </c>
      <c r="F17" s="11">
        <v>97106.42457208797</v>
      </c>
      <c r="G17" s="11">
        <v>62406.421686409441</v>
      </c>
      <c r="H17" s="11">
        <v>141301.89289640932</v>
      </c>
      <c r="I17" s="11">
        <v>155845.62540640769</v>
      </c>
      <c r="J17" s="11">
        <v>150142.67140696471</v>
      </c>
      <c r="K17" s="11">
        <v>163964.14649809062</v>
      </c>
      <c r="L17" s="11">
        <v>151920.10668884043</v>
      </c>
      <c r="M17" s="11">
        <v>176649.21573947268</v>
      </c>
      <c r="N17" s="11">
        <v>71582.321114842867</v>
      </c>
      <c r="O17" s="11">
        <v>125310.34145977268</v>
      </c>
      <c r="P17" s="11">
        <v>115777.93708167879</v>
      </c>
      <c r="Q17" s="21">
        <f t="shared" si="44"/>
        <v>1511573.2252215962</v>
      </c>
      <c r="R17" s="11">
        <v>134182.58093702805</v>
      </c>
      <c r="S17" s="11">
        <v>123182.42226558736</v>
      </c>
      <c r="T17" s="11">
        <v>128880.49883920747</v>
      </c>
      <c r="U17" s="11">
        <v>128942.17515682717</v>
      </c>
      <c r="V17" s="11">
        <v>134211.56567552561</v>
      </c>
      <c r="W17" s="11">
        <v>124461.46905376892</v>
      </c>
      <c r="X17" s="11">
        <v>131302.8439295821</v>
      </c>
      <c r="Y17" s="11">
        <v>131893.78431422292</v>
      </c>
      <c r="Z17" s="11">
        <v>129462.21012970558</v>
      </c>
      <c r="AA17" s="11">
        <v>134723.48121151916</v>
      </c>
      <c r="AB17" s="11">
        <v>127788.8038706779</v>
      </c>
      <c r="AC17" s="11">
        <v>132121.45000000001</v>
      </c>
      <c r="AD17" s="21">
        <f t="shared" si="45"/>
        <v>1561153.285383652</v>
      </c>
      <c r="AE17" s="11">
        <v>129741.35390734849</v>
      </c>
      <c r="AF17" s="11">
        <v>121429.1931482607</v>
      </c>
      <c r="AG17" s="11">
        <v>134891.22224130802</v>
      </c>
      <c r="AH17" s="11">
        <v>104759.47405644256</v>
      </c>
      <c r="AI17" s="11">
        <v>134870.90689498503</v>
      </c>
      <c r="AJ17" s="11">
        <v>117509.72326260814</v>
      </c>
      <c r="AK17" s="11">
        <v>130340.31307038122</v>
      </c>
      <c r="AL17" s="11">
        <v>136385.09599565368</v>
      </c>
      <c r="AM17" s="11">
        <v>124763.84999999998</v>
      </c>
      <c r="AN17" s="11">
        <v>122389.34999999999</v>
      </c>
      <c r="AO17" s="11">
        <v>118986.27000000002</v>
      </c>
      <c r="AP17" s="11">
        <v>121932.35999999999</v>
      </c>
      <c r="AQ17" s="21">
        <f t="shared" si="17"/>
        <v>1497999.1125769876</v>
      </c>
      <c r="AR17" s="11">
        <v>103681.51999999999</v>
      </c>
      <c r="AS17" s="11">
        <v>115069.30043397122</v>
      </c>
      <c r="AT17" s="11">
        <v>132780.51999999999</v>
      </c>
      <c r="AU17" s="11">
        <v>130966.36195189493</v>
      </c>
      <c r="AV17" s="11">
        <v>118482.82999999996</v>
      </c>
      <c r="AW17" s="11">
        <v>88200.37000000001</v>
      </c>
      <c r="AX17" s="11">
        <v>8674.4117929158383</v>
      </c>
      <c r="AY17" s="11">
        <v>9796.5043999999998</v>
      </c>
      <c r="AZ17" s="11">
        <v>9446.0940529434047</v>
      </c>
      <c r="BA17" s="11">
        <v>9686.2820630000024</v>
      </c>
      <c r="BB17" s="11">
        <v>9504.1667379999999</v>
      </c>
      <c r="BC17" s="11">
        <v>10235.116195000001</v>
      </c>
      <c r="BD17" s="21">
        <f t="shared" si="24"/>
        <v>746523.47762772546</v>
      </c>
      <c r="BE17" s="11">
        <v>9854.3175730000003</v>
      </c>
      <c r="BF17" s="11">
        <v>8886.8258103946064</v>
      </c>
      <c r="BG17" s="11">
        <v>10109.686341112447</v>
      </c>
      <c r="BH17" s="11">
        <v>8965.3111589939763</v>
      </c>
      <c r="BI17" s="11">
        <v>8087.1732578137307</v>
      </c>
      <c r="BJ17" s="11">
        <v>8094.673103000001</v>
      </c>
      <c r="BK17" s="11">
        <v>8653.1968180000003</v>
      </c>
      <c r="BL17" s="11">
        <v>8723.5596620000015</v>
      </c>
      <c r="BM17" s="11">
        <v>8453.0100329999987</v>
      </c>
      <c r="BN17" s="11">
        <v>9564.3340648586473</v>
      </c>
      <c r="BO17" s="11">
        <v>9058.11</v>
      </c>
      <c r="BP17" s="11">
        <v>9387.75</v>
      </c>
      <c r="BQ17" s="21">
        <f t="shared" si="13"/>
        <v>107837.9478221734</v>
      </c>
      <c r="BR17" s="11">
        <v>10019.685619000002</v>
      </c>
      <c r="BS17" s="11">
        <v>8956.9598169999972</v>
      </c>
      <c r="BT17" s="11">
        <v>10009.543564000001</v>
      </c>
    </row>
    <row r="18" spans="1:73" ht="15" thickBot="1">
      <c r="A18" s="41"/>
      <c r="B18" s="83"/>
      <c r="C18" s="19" t="s">
        <v>28</v>
      </c>
      <c r="D18" s="19"/>
      <c r="E18" s="19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3">
        <f t="shared" ref="Q18" si="46">+SUM(F18:P18)</f>
        <v>0</v>
      </c>
      <c r="R18" s="12"/>
      <c r="S18" s="12"/>
      <c r="T18" s="12"/>
      <c r="U18" s="12"/>
      <c r="V18" s="36"/>
      <c r="W18" s="36"/>
      <c r="X18" s="36"/>
      <c r="Y18" s="36"/>
      <c r="Z18" s="36"/>
      <c r="AA18" s="36"/>
      <c r="AB18" s="36"/>
      <c r="AC18" s="36"/>
      <c r="AD18" s="21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21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21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21"/>
      <c r="BR18" s="36"/>
      <c r="BS18" s="36"/>
      <c r="BT18" s="36"/>
    </row>
    <row r="19" spans="1:73">
      <c r="A19" s="40"/>
      <c r="B19" s="84"/>
      <c r="C19" s="17" t="s">
        <v>29</v>
      </c>
      <c r="D19" s="17"/>
      <c r="E19" s="15">
        <f>+SUM(E20:E27)</f>
        <v>393779.22009753942</v>
      </c>
      <c r="F19" s="15">
        <f>+SUM(F20:F27)</f>
        <v>1559477.798688021</v>
      </c>
      <c r="G19" s="15">
        <f t="shared" ref="G19:AE19" si="47">+SUM(G20:G27)</f>
        <v>6277467.4474163698</v>
      </c>
      <c r="H19" s="15">
        <f t="shared" si="47"/>
        <v>10078160.276214646</v>
      </c>
      <c r="I19" s="15">
        <f t="shared" si="47"/>
        <v>11115471.696788561</v>
      </c>
      <c r="J19" s="15">
        <f t="shared" si="47"/>
        <v>10708716.463181024</v>
      </c>
      <c r="K19" s="15">
        <f t="shared" si="47"/>
        <v>11694513.88150857</v>
      </c>
      <c r="L19" s="15">
        <f t="shared" si="47"/>
        <v>10835489.553648219</v>
      </c>
      <c r="M19" s="15">
        <f t="shared" si="47"/>
        <v>13705694.57909824</v>
      </c>
      <c r="N19" s="15">
        <f t="shared" si="47"/>
        <v>13784698.598510522</v>
      </c>
      <c r="O19" s="15">
        <f t="shared" si="47"/>
        <v>12387789.183063831</v>
      </c>
      <c r="P19" s="15">
        <f t="shared" si="47"/>
        <v>10362455.478868999</v>
      </c>
      <c r="Q19" s="24">
        <f>+SUM(E19:P19)</f>
        <v>112903714.17708454</v>
      </c>
      <c r="R19" s="15">
        <f t="shared" si="47"/>
        <v>13564448.502275033</v>
      </c>
      <c r="S19" s="15">
        <f t="shared" si="47"/>
        <v>11196816.988749679</v>
      </c>
      <c r="T19" s="15">
        <f t="shared" si="47"/>
        <v>12536847.350772412</v>
      </c>
      <c r="U19" s="15">
        <f t="shared" si="47"/>
        <v>13503842.155078158</v>
      </c>
      <c r="V19" s="15">
        <f t="shared" si="47"/>
        <v>12531316.812205352</v>
      </c>
      <c r="W19" s="15">
        <f t="shared" si="47"/>
        <v>13648844.768309535</v>
      </c>
      <c r="X19" s="15">
        <f t="shared" si="47"/>
        <v>11893971.590312019</v>
      </c>
      <c r="Y19" s="15">
        <f t="shared" si="47"/>
        <v>13633959.76754904</v>
      </c>
      <c r="Z19" s="15">
        <f t="shared" si="47"/>
        <v>13460476.155782975</v>
      </c>
      <c r="AA19" s="15">
        <f t="shared" si="47"/>
        <v>13181006.472531471</v>
      </c>
      <c r="AB19" s="15">
        <f t="shared" si="47"/>
        <v>11229951.179313134</v>
      </c>
      <c r="AC19" s="15">
        <f t="shared" si="47"/>
        <v>13592290.949999997</v>
      </c>
      <c r="AD19" s="15">
        <f t="shared" si="47"/>
        <v>153973772.69287878</v>
      </c>
      <c r="AE19" s="15">
        <f t="shared" si="47"/>
        <v>11015153.954186227</v>
      </c>
      <c r="AF19" s="15">
        <f t="shared" ref="AF19:AP19" si="48">+SUM(AF20:AF27)</f>
        <v>11411160.544998983</v>
      </c>
      <c r="AG19" s="15">
        <f t="shared" si="48"/>
        <v>13033375.963929536</v>
      </c>
      <c r="AH19" s="15">
        <f t="shared" si="48"/>
        <v>11061896.742056429</v>
      </c>
      <c r="AI19" s="15">
        <f t="shared" si="48"/>
        <v>12685810.301568864</v>
      </c>
      <c r="AJ19" s="15">
        <f t="shared" si="48"/>
        <v>11216845.727118293</v>
      </c>
      <c r="AK19" s="15">
        <f t="shared" si="48"/>
        <v>12449552.200182589</v>
      </c>
      <c r="AL19" s="15">
        <f t="shared" si="48"/>
        <v>10907250.45722118</v>
      </c>
      <c r="AM19" s="15">
        <f t="shared" si="48"/>
        <v>12096019.356623011</v>
      </c>
      <c r="AN19" s="15">
        <f t="shared" si="48"/>
        <v>11466564.7320008</v>
      </c>
      <c r="AO19" s="15">
        <f t="shared" si="48"/>
        <v>10002954.441131933</v>
      </c>
      <c r="AP19" s="15">
        <f t="shared" si="48"/>
        <v>12315443.64052413</v>
      </c>
      <c r="AQ19" s="15">
        <f>+SUM(AE19:AP19)</f>
        <v>139662028.06154197</v>
      </c>
      <c r="AR19" s="15">
        <f t="shared" ref="AR19:BC19" si="49">+SUM(AR20:AR27)</f>
        <v>11393503.185235083</v>
      </c>
      <c r="AS19" s="15">
        <f t="shared" si="49"/>
        <v>12057790.192509394</v>
      </c>
      <c r="AT19" s="15">
        <f t="shared" si="49"/>
        <v>13132658.628579993</v>
      </c>
      <c r="AU19" s="15">
        <f t="shared" si="49"/>
        <v>6531960.0027798964</v>
      </c>
      <c r="AV19" s="15">
        <f t="shared" si="49"/>
        <v>13320567.788358465</v>
      </c>
      <c r="AW19" s="15">
        <f t="shared" si="49"/>
        <v>12333056.880495554</v>
      </c>
      <c r="AX19" s="15">
        <f t="shared" si="49"/>
        <v>10683131.909836849</v>
      </c>
      <c r="AY19" s="15">
        <f t="shared" si="49"/>
        <v>13424470.666834459</v>
      </c>
      <c r="AZ19" s="15">
        <f t="shared" si="49"/>
        <v>12262511.989287822</v>
      </c>
      <c r="BA19" s="15">
        <f t="shared" si="49"/>
        <v>13830337.815743171</v>
      </c>
      <c r="BB19" s="15">
        <f t="shared" si="49"/>
        <v>13286005.1522184</v>
      </c>
      <c r="BC19" s="15">
        <f t="shared" si="49"/>
        <v>13548032.428908449</v>
      </c>
      <c r="BD19" s="15">
        <f>+SUM(AR19:BC19)</f>
        <v>145804026.64078751</v>
      </c>
      <c r="BE19" s="15">
        <f t="shared" ref="BE19:BF19" si="50">+SUM(BE20:BE27)</f>
        <v>11517384.867817931</v>
      </c>
      <c r="BF19" s="15">
        <f t="shared" si="50"/>
        <v>12591985.67009417</v>
      </c>
      <c r="BG19" s="15">
        <f t="shared" ref="BG19:BH19" si="51">+SUM(BG20:BG27)</f>
        <v>13268736.127328383</v>
      </c>
      <c r="BH19" s="15">
        <f t="shared" si="51"/>
        <v>11367090.605715711</v>
      </c>
      <c r="BI19" s="15">
        <f t="shared" ref="BI19:BJ19" si="52">+SUM(BI20:BI27)</f>
        <v>13911014.558089346</v>
      </c>
      <c r="BJ19" s="15">
        <f t="shared" si="52"/>
        <v>13571888.220580652</v>
      </c>
      <c r="BK19" s="15">
        <f t="shared" ref="BK19:BL19" si="53">+SUM(BK20:BK27)</f>
        <v>14121231.994301535</v>
      </c>
      <c r="BL19" s="15">
        <f t="shared" si="53"/>
        <v>12879590.780208582</v>
      </c>
      <c r="BM19" s="15">
        <f t="shared" ref="BM19:BN19" si="54">+SUM(BM20:BM27)</f>
        <v>14040308.523309503</v>
      </c>
      <c r="BN19" s="15">
        <f t="shared" si="54"/>
        <v>12349019.661499284</v>
      </c>
      <c r="BO19" s="15">
        <f t="shared" ref="BO19:BP19" si="55">+SUM(BO20:BO27)</f>
        <v>14061901.190000001</v>
      </c>
      <c r="BP19" s="15">
        <f t="shared" si="55"/>
        <v>13451455.33</v>
      </c>
      <c r="BQ19" s="15">
        <f>+SUM(BE19:BP19)</f>
        <v>157131607.52894512</v>
      </c>
      <c r="BR19" s="15">
        <f t="shared" ref="BR19:BS19" si="56">+SUM(BR20:BR27)</f>
        <v>12396473.733778877</v>
      </c>
      <c r="BS19" s="15">
        <f t="shared" si="56"/>
        <v>12676405.918080801</v>
      </c>
      <c r="BT19" s="15">
        <f t="shared" ref="BT19" si="57">+SUM(BT20:BT27)</f>
        <v>14221436.743211148</v>
      </c>
    </row>
    <row r="20" spans="1:73">
      <c r="A20" s="9">
        <v>2110101</v>
      </c>
      <c r="B20" s="85" t="s">
        <v>30</v>
      </c>
      <c r="C20" s="81" t="s">
        <v>29</v>
      </c>
      <c r="D20" s="81" t="s">
        <v>31</v>
      </c>
      <c r="E20" s="11">
        <v>51534.990358820593</v>
      </c>
      <c r="F20" s="11">
        <v>54473.825382949886</v>
      </c>
      <c r="G20" s="11">
        <v>162766.20822033857</v>
      </c>
      <c r="H20" s="11">
        <v>122320.59237598705</v>
      </c>
      <c r="I20" s="11">
        <v>134910.64293734162</v>
      </c>
      <c r="J20" s="11">
        <v>129973.77551677363</v>
      </c>
      <c r="K20" s="11">
        <v>141938.59060878315</v>
      </c>
      <c r="L20" s="11">
        <v>131512.44518447874</v>
      </c>
      <c r="M20" s="11">
        <v>150075.98463793565</v>
      </c>
      <c r="N20" s="11">
        <v>149565.8059452704</v>
      </c>
      <c r="O20" s="11">
        <v>133155.30582784719</v>
      </c>
      <c r="P20" s="11">
        <v>171330.8693019491</v>
      </c>
      <c r="Q20" s="21">
        <f>+SUM(E20:P20)</f>
        <v>1533559.0362984759</v>
      </c>
      <c r="R20" s="11">
        <v>209438.20036457272</v>
      </c>
      <c r="S20" s="11">
        <v>204310.9719183695</v>
      </c>
      <c r="T20" s="11">
        <v>165994.34565270148</v>
      </c>
      <c r="U20" s="11">
        <v>201566.84798593662</v>
      </c>
      <c r="V20" s="11">
        <v>223033.52253387336</v>
      </c>
      <c r="W20" s="11">
        <v>181065.47056365648</v>
      </c>
      <c r="X20" s="11">
        <v>237375.72289295256</v>
      </c>
      <c r="Y20" s="11">
        <v>224783.84481121338</v>
      </c>
      <c r="Z20" s="11">
        <v>234846.71446690708</v>
      </c>
      <c r="AA20" s="11">
        <v>234683.60578042699</v>
      </c>
      <c r="AB20" s="11">
        <v>243364.86349099578</v>
      </c>
      <c r="AC20" s="11">
        <v>255375.77</v>
      </c>
      <c r="AD20" s="21">
        <f>+SUM(R20:AC20)</f>
        <v>2615839.8804616062</v>
      </c>
      <c r="AE20" s="11">
        <v>247191.443158779</v>
      </c>
      <c r="AF20" s="11">
        <v>237572.32137696928</v>
      </c>
      <c r="AG20" s="11">
        <v>281309.05563179305</v>
      </c>
      <c r="AH20" s="11">
        <v>405757.64540362882</v>
      </c>
      <c r="AI20" s="11">
        <v>272462.82873933599</v>
      </c>
      <c r="AJ20" s="11">
        <v>209432.66966344224</v>
      </c>
      <c r="AK20" s="11">
        <v>285122.06312897016</v>
      </c>
      <c r="AL20" s="11">
        <v>282473.59945440001</v>
      </c>
      <c r="AM20" s="11">
        <v>282114.47662300989</v>
      </c>
      <c r="AN20" s="11">
        <v>234924.77200080053</v>
      </c>
      <c r="AO20" s="11">
        <v>250968.87113193091</v>
      </c>
      <c r="AP20" s="11">
        <v>271543.48052412824</v>
      </c>
      <c r="AQ20" s="21">
        <f>+SUM(AE20:AP20)</f>
        <v>3260873.226837188</v>
      </c>
      <c r="AR20" s="11">
        <v>263501.71523508133</v>
      </c>
      <c r="AS20" s="11">
        <v>269436.27748000965</v>
      </c>
      <c r="AT20" s="11">
        <v>258988.96257998969</v>
      </c>
      <c r="AU20" s="11">
        <v>272067.83332236612</v>
      </c>
      <c r="AV20" s="11">
        <v>241781.86835846334</v>
      </c>
      <c r="AW20" s="11">
        <v>170277.00049555482</v>
      </c>
      <c r="AX20" s="11">
        <v>244313.05331013931</v>
      </c>
      <c r="AY20" s="11">
        <v>270571.22313445772</v>
      </c>
      <c r="AZ20" s="11">
        <v>274037.13086737198</v>
      </c>
      <c r="BA20" s="11">
        <v>268174.52364317188</v>
      </c>
      <c r="BB20" s="11">
        <v>276472.88721839711</v>
      </c>
      <c r="BC20" s="11">
        <v>304017.11910844978</v>
      </c>
      <c r="BD20" s="21">
        <f>+SUM(AR20:BC20)</f>
        <v>3113639.5947534526</v>
      </c>
      <c r="BE20" s="11">
        <v>281894.10875793139</v>
      </c>
      <c r="BF20" s="11">
        <v>220753.77735120826</v>
      </c>
      <c r="BG20" s="11">
        <v>303574.91981562169</v>
      </c>
      <c r="BH20" s="11">
        <v>263481.24882486917</v>
      </c>
      <c r="BI20" s="11">
        <v>221887.72400317737</v>
      </c>
      <c r="BJ20" s="11">
        <v>241934.64628065238</v>
      </c>
      <c r="BK20" s="11">
        <v>262032.05050153204</v>
      </c>
      <c r="BL20" s="11">
        <v>254250.23787858192</v>
      </c>
      <c r="BM20" s="11">
        <v>260150.28180950001</v>
      </c>
      <c r="BN20" s="11">
        <v>247808.693976779</v>
      </c>
      <c r="BO20" s="11">
        <v>273151.15999999997</v>
      </c>
      <c r="BP20" s="11">
        <v>274729.45</v>
      </c>
      <c r="BQ20" s="21">
        <f>+SUM(BE20:BP20)</f>
        <v>3105648.2991998536</v>
      </c>
      <c r="BR20" s="11">
        <v>298968.63341887726</v>
      </c>
      <c r="BS20" s="11">
        <v>273491.07978080376</v>
      </c>
      <c r="BT20" s="11">
        <v>274821.80571114831</v>
      </c>
      <c r="BU20" s="37"/>
    </row>
    <row r="21" spans="1:73">
      <c r="A21" s="9">
        <v>2110102</v>
      </c>
      <c r="B21" s="85" t="s">
        <v>30</v>
      </c>
      <c r="C21" s="81" t="s">
        <v>29</v>
      </c>
      <c r="D21" s="81" t="s">
        <v>32</v>
      </c>
      <c r="E21" s="11">
        <v>269138.04988903005</v>
      </c>
      <c r="F21" s="11">
        <v>136199.45459774401</v>
      </c>
      <c r="G21" s="11">
        <v>53510.58398527938</v>
      </c>
      <c r="H21" s="11">
        <v>252056.18939085896</v>
      </c>
      <c r="I21" s="11">
        <v>277999.49220759916</v>
      </c>
      <c r="J21" s="11">
        <v>267826.48727535259</v>
      </c>
      <c r="K21" s="11">
        <v>292481.41773537052</v>
      </c>
      <c r="L21" s="11">
        <v>270997.09988962882</v>
      </c>
      <c r="M21" s="11">
        <v>415493.72953619092</v>
      </c>
      <c r="N21" s="11">
        <v>781975.72932857391</v>
      </c>
      <c r="O21" s="11">
        <v>300564.7043680955</v>
      </c>
      <c r="P21" s="11">
        <v>373979.28558781295</v>
      </c>
      <c r="Q21" s="21">
        <f t="shared" ref="Q21:Q27" si="58">+SUM(E21:P21)</f>
        <v>3692222.2237915364</v>
      </c>
      <c r="R21" s="11">
        <v>493271.19632577279</v>
      </c>
      <c r="S21" s="11">
        <v>391077.5135246648</v>
      </c>
      <c r="T21" s="11">
        <v>443501.98497853184</v>
      </c>
      <c r="U21" s="11">
        <v>465718.0453014698</v>
      </c>
      <c r="V21" s="11">
        <v>430991.02371079253</v>
      </c>
      <c r="W21" s="11">
        <v>479842.08188664488</v>
      </c>
      <c r="X21" s="11">
        <v>415370.61269362428</v>
      </c>
      <c r="Y21" s="11">
        <v>492443.41516283836</v>
      </c>
      <c r="Z21" s="11">
        <v>447892.26806000847</v>
      </c>
      <c r="AA21" s="11">
        <v>407317.02848543925</v>
      </c>
      <c r="AB21" s="11">
        <v>394372.90312236588</v>
      </c>
      <c r="AC21" s="11">
        <v>517368.62</v>
      </c>
      <c r="AD21" s="21">
        <f t="shared" ref="AD21:AD27" si="59">+SUM(R21:AC21)</f>
        <v>5379166.6932521528</v>
      </c>
      <c r="AE21" s="11">
        <v>458456.71635795099</v>
      </c>
      <c r="AF21" s="11">
        <v>477041.02060300804</v>
      </c>
      <c r="AG21" s="11">
        <v>543244.70152638375</v>
      </c>
      <c r="AH21" s="11">
        <v>408334.89209970087</v>
      </c>
      <c r="AI21" s="11">
        <v>500145.43278811919</v>
      </c>
      <c r="AJ21" s="11">
        <v>420857.90410295496</v>
      </c>
      <c r="AK21" s="11">
        <v>408050.93643883121</v>
      </c>
      <c r="AL21" s="11">
        <v>387771.04671902931</v>
      </c>
      <c r="AM21" s="11">
        <v>442403.67799999996</v>
      </c>
      <c r="AN21" s="11">
        <v>445698.01799999998</v>
      </c>
      <c r="AO21" s="11">
        <v>378688.60600000009</v>
      </c>
      <c r="AP21" s="11">
        <v>479230.25600000005</v>
      </c>
      <c r="AQ21" s="21">
        <f>+SUM(AE21:AP21)</f>
        <v>5349923.2086359775</v>
      </c>
      <c r="AR21" s="11">
        <v>457458.02799999993</v>
      </c>
      <c r="AS21" s="11">
        <v>471155.11103178124</v>
      </c>
      <c r="AT21" s="11">
        <v>500951.43600000005</v>
      </c>
      <c r="AU21" s="11">
        <v>224684.10811804899</v>
      </c>
      <c r="AV21" s="11">
        <v>482272.10000000003</v>
      </c>
      <c r="AW21" s="11">
        <v>428454.84399999998</v>
      </c>
      <c r="AX21" s="11">
        <v>363686.33104422456</v>
      </c>
      <c r="AY21" s="11">
        <v>474591.30074000009</v>
      </c>
      <c r="AZ21" s="11">
        <v>434708.74029867951</v>
      </c>
      <c r="BA21" s="11">
        <v>485173.00641999993</v>
      </c>
      <c r="BB21" s="11">
        <v>444798.13320000016</v>
      </c>
      <c r="BC21" s="11">
        <v>448269.62575999985</v>
      </c>
      <c r="BD21" s="21">
        <f>+SUM(AR21:BC21)</f>
        <v>5216202.7646127343</v>
      </c>
      <c r="BE21" s="11">
        <v>381048.52870000002</v>
      </c>
      <c r="BF21" s="11">
        <v>419387.11929732608</v>
      </c>
      <c r="BG21" s="11">
        <v>451642.28429047414</v>
      </c>
      <c r="BH21" s="11">
        <v>396385.52775093273</v>
      </c>
      <c r="BI21" s="11">
        <v>479099.28550048638</v>
      </c>
      <c r="BJ21" s="11">
        <v>458355.59946000011</v>
      </c>
      <c r="BK21" s="11">
        <v>484981.35676000011</v>
      </c>
      <c r="BL21" s="11">
        <v>421318.92104000016</v>
      </c>
      <c r="BM21" s="11">
        <v>467136.87510000012</v>
      </c>
      <c r="BN21" s="11">
        <v>398234.26615206414</v>
      </c>
      <c r="BO21" s="11">
        <v>442408.63</v>
      </c>
      <c r="BP21" s="11">
        <v>441414.68</v>
      </c>
      <c r="BQ21" s="21">
        <f>+SUM(BE21:BP21)</f>
        <v>5241413.0740512833</v>
      </c>
      <c r="BR21" s="11">
        <v>396207.58217999991</v>
      </c>
      <c r="BS21" s="11">
        <v>440017.54866000009</v>
      </c>
      <c r="BT21" s="11">
        <v>502785.02550000011</v>
      </c>
    </row>
    <row r="22" spans="1:73">
      <c r="A22" s="9">
        <v>2110103</v>
      </c>
      <c r="B22" s="85" t="s">
        <v>30</v>
      </c>
      <c r="C22" s="81" t="s">
        <v>29</v>
      </c>
      <c r="D22" s="81" t="s">
        <v>33</v>
      </c>
      <c r="E22" s="11">
        <v>45612.413349458904</v>
      </c>
      <c r="F22" s="11">
        <v>90799.636398496019</v>
      </c>
      <c r="G22" s="11">
        <v>699754.87497664685</v>
      </c>
      <c r="H22" s="11">
        <v>1233352.0089776258</v>
      </c>
      <c r="I22" s="11">
        <v>1360296.8172994079</v>
      </c>
      <c r="J22" s="11">
        <v>1310518.6464048643</v>
      </c>
      <c r="K22" s="11">
        <v>1431159.2388360754</v>
      </c>
      <c r="L22" s="11">
        <v>1326032.9705996313</v>
      </c>
      <c r="M22" s="11">
        <v>1985069.3956758354</v>
      </c>
      <c r="N22" s="11">
        <v>2345927.1879857215</v>
      </c>
      <c r="O22" s="11">
        <v>1470712.077557103</v>
      </c>
      <c r="P22" s="11">
        <v>1495917.1423512518</v>
      </c>
      <c r="Q22" s="21">
        <f t="shared" si="58"/>
        <v>14795152.41041212</v>
      </c>
      <c r="R22" s="11">
        <v>1973084.7853030912</v>
      </c>
      <c r="S22" s="11">
        <v>1564310.0540986592</v>
      </c>
      <c r="T22" s="11">
        <v>1774007.9399141273</v>
      </c>
      <c r="U22" s="11">
        <v>1862872.1812058792</v>
      </c>
      <c r="V22" s="11">
        <v>1723964.0948431701</v>
      </c>
      <c r="W22" s="11">
        <v>1919368.3275465795</v>
      </c>
      <c r="X22" s="11">
        <v>1661482.4507744971</v>
      </c>
      <c r="Y22" s="11">
        <v>1969773.6606513534</v>
      </c>
      <c r="Z22" s="11">
        <v>1791569.0722400339</v>
      </c>
      <c r="AA22" s="11">
        <v>1629268.113941757</v>
      </c>
      <c r="AB22" s="11">
        <v>1577491.6124894635</v>
      </c>
      <c r="AC22" s="11">
        <v>2069474.49</v>
      </c>
      <c r="AD22" s="21">
        <f t="shared" si="59"/>
        <v>21516666.783008609</v>
      </c>
      <c r="AE22" s="11">
        <v>1833826.865431804</v>
      </c>
      <c r="AF22" s="11">
        <v>1908164.0824120322</v>
      </c>
      <c r="AG22" s="11">
        <v>2172978.806105535</v>
      </c>
      <c r="AH22" s="11">
        <v>1633339.5683988035</v>
      </c>
      <c r="AI22" s="11">
        <v>2000581.7311524767</v>
      </c>
      <c r="AJ22" s="11">
        <v>1683431.6164118198</v>
      </c>
      <c r="AK22" s="11">
        <v>1632203.7457553248</v>
      </c>
      <c r="AL22" s="11">
        <v>1551084.1868761173</v>
      </c>
      <c r="AM22" s="11">
        <v>1769614.7119999998</v>
      </c>
      <c r="AN22" s="11">
        <v>1782792.0719999999</v>
      </c>
      <c r="AO22" s="11">
        <v>1514754.4240000003</v>
      </c>
      <c r="AP22" s="11">
        <v>1916921.0240000002</v>
      </c>
      <c r="AQ22" s="21">
        <f t="shared" ref="AQ22:AQ27" si="60">+SUM(AE22:AP22)</f>
        <v>21399692.83454391</v>
      </c>
      <c r="AR22" s="11">
        <v>1829832.1119999997</v>
      </c>
      <c r="AS22" s="11">
        <v>1884620.444127125</v>
      </c>
      <c r="AT22" s="11">
        <v>2003805.73</v>
      </c>
      <c r="AU22" s="11">
        <v>898736.43247219594</v>
      </c>
      <c r="AV22" s="11">
        <v>1929088.4000000001</v>
      </c>
      <c r="AW22" s="11">
        <v>1713819.3759999999</v>
      </c>
      <c r="AX22" s="11">
        <v>1454745.3241768982</v>
      </c>
      <c r="AY22" s="11">
        <v>1898365.2029600004</v>
      </c>
      <c r="AZ22" s="11">
        <v>1738834.961194718</v>
      </c>
      <c r="BA22" s="11">
        <v>1940692.0256799997</v>
      </c>
      <c r="BB22" s="11">
        <v>1779192.5328000006</v>
      </c>
      <c r="BC22" s="11">
        <v>1793078.5030399994</v>
      </c>
      <c r="BD22" s="21">
        <f t="shared" ref="BD22:BD27" si="61">+SUM(AR22:BC22)</f>
        <v>20864811.044450939</v>
      </c>
      <c r="BE22" s="11">
        <v>1524194.1148000001</v>
      </c>
      <c r="BF22" s="11">
        <v>1677548.4771893043</v>
      </c>
      <c r="BG22" s="11">
        <v>1806569.1371618966</v>
      </c>
      <c r="BH22" s="11">
        <v>1585542.1110037309</v>
      </c>
      <c r="BI22" s="11">
        <v>1916397.1420019455</v>
      </c>
      <c r="BJ22" s="11">
        <v>1833422.3978400005</v>
      </c>
      <c r="BK22" s="11">
        <v>1939925.4270400004</v>
      </c>
      <c r="BL22" s="11">
        <v>1685275.6841600006</v>
      </c>
      <c r="BM22" s="11">
        <v>1868547.5004000005</v>
      </c>
      <c r="BN22" s="11">
        <v>1592937.0646082566</v>
      </c>
      <c r="BO22" s="11">
        <v>1769634.53</v>
      </c>
      <c r="BP22" s="11">
        <v>1765658.71</v>
      </c>
      <c r="BQ22" s="21">
        <f t="shared" ref="BQ22:BQ42" si="62">+SUM(BE22:BP22)</f>
        <v>20965652.296205137</v>
      </c>
      <c r="BR22" s="11">
        <v>1584830.3287199996</v>
      </c>
      <c r="BS22" s="11">
        <v>1760070.1946400004</v>
      </c>
      <c r="BT22" s="11">
        <v>2011140.1020000004</v>
      </c>
    </row>
    <row r="23" spans="1:73">
      <c r="A23" s="9">
        <v>2110110</v>
      </c>
      <c r="B23" s="85" t="s">
        <v>30</v>
      </c>
      <c r="C23" s="81" t="s">
        <v>29</v>
      </c>
      <c r="D23" s="81" t="s">
        <v>34</v>
      </c>
      <c r="E23" s="11">
        <v>27493.766500229871</v>
      </c>
      <c r="F23" s="11">
        <v>794496.81848684</v>
      </c>
      <c r="G23" s="11">
        <v>4322081.2872881005</v>
      </c>
      <c r="H23" s="11">
        <v>6364078.8186326521</v>
      </c>
      <c r="I23" s="11">
        <v>7019112.2234476535</v>
      </c>
      <c r="J23" s="11">
        <v>6762257.5698578451</v>
      </c>
      <c r="K23" s="11">
        <v>7384761.3103716308</v>
      </c>
      <c r="L23" s="11">
        <v>6842311.2619705787</v>
      </c>
      <c r="M23" s="11">
        <v>8443908.0414693523</v>
      </c>
      <c r="N23" s="11">
        <v>8783676.3627078347</v>
      </c>
      <c r="O23" s="11">
        <v>8553538.6056721359</v>
      </c>
      <c r="P23" s="11">
        <v>7022579.210215983</v>
      </c>
      <c r="Q23" s="21">
        <f t="shared" si="58"/>
        <v>72320295.276620835</v>
      </c>
      <c r="R23" s="11">
        <v>9290524.1880713254</v>
      </c>
      <c r="S23" s="11">
        <v>7550139.4008545205</v>
      </c>
      <c r="T23" s="11">
        <v>8634183.0929118581</v>
      </c>
      <c r="U23" s="11">
        <v>9303698.8944931366</v>
      </c>
      <c r="V23" s="11">
        <v>8570392.5472685751</v>
      </c>
      <c r="W23" s="11">
        <v>9338722.6304699685</v>
      </c>
      <c r="X23" s="11">
        <v>8096716.2296348093</v>
      </c>
      <c r="Y23" s="11">
        <v>9221158.6491216552</v>
      </c>
      <c r="Z23" s="11">
        <v>9346908.2931998745</v>
      </c>
      <c r="AA23" s="11">
        <v>9232916.9753856529</v>
      </c>
      <c r="AB23" s="11">
        <v>7464338.0321833687</v>
      </c>
      <c r="AC23" s="11">
        <v>8860912.7899999991</v>
      </c>
      <c r="AD23" s="21">
        <f t="shared" si="59"/>
        <v>104910611.72359473</v>
      </c>
      <c r="AE23" s="11">
        <v>6913970.5769336494</v>
      </c>
      <c r="AF23" s="11">
        <v>7223808.8488961468</v>
      </c>
      <c r="AG23" s="11">
        <v>8243486.8789101187</v>
      </c>
      <c r="AH23" s="11">
        <v>6478153.6251902981</v>
      </c>
      <c r="AI23" s="11">
        <v>8081660.9753633719</v>
      </c>
      <c r="AJ23" s="11">
        <v>7280831.9035417959</v>
      </c>
      <c r="AK23" s="11">
        <v>8358222.6166454572</v>
      </c>
      <c r="AL23" s="11">
        <v>7125005.1901241485</v>
      </c>
      <c r="AM23" s="11">
        <v>7950199.1799999997</v>
      </c>
      <c r="AN23" s="11">
        <v>7421490.1199999992</v>
      </c>
      <c r="AO23" s="11">
        <v>6357495.0200000005</v>
      </c>
      <c r="AP23" s="11">
        <v>7854101.2900000028</v>
      </c>
      <c r="AQ23" s="21">
        <f t="shared" si="60"/>
        <v>89288426.225604981</v>
      </c>
      <c r="AR23" s="11">
        <v>7157157.9400000004</v>
      </c>
      <c r="AS23" s="11">
        <v>7684870.1456864839</v>
      </c>
      <c r="AT23" s="11">
        <v>8479672.3800000008</v>
      </c>
      <c r="AU23" s="11">
        <v>4106470.8354996867</v>
      </c>
      <c r="AV23" s="11">
        <v>8845532.4500000011</v>
      </c>
      <c r="AW23" s="11">
        <v>8311378.8200000003</v>
      </c>
      <c r="AX23" s="11">
        <v>7049537.3123724777</v>
      </c>
      <c r="AY23" s="11">
        <v>8970292.087199999</v>
      </c>
      <c r="AZ23" s="11">
        <v>8141485.7452923786</v>
      </c>
      <c r="BA23" s="11">
        <v>9283689.6747999992</v>
      </c>
      <c r="BB23" s="11">
        <v>9031159.6361000016</v>
      </c>
      <c r="BC23" s="11">
        <v>9228837.9978</v>
      </c>
      <c r="BD23" s="21">
        <f t="shared" si="61"/>
        <v>96290085.024751008</v>
      </c>
      <c r="BE23" s="11">
        <v>7853502.2574000005</v>
      </c>
      <c r="BF23" s="11">
        <v>8613052.1203784067</v>
      </c>
      <c r="BG23" s="11">
        <v>8899270.4226524979</v>
      </c>
      <c r="BH23" s="11">
        <v>7605194.9170900071</v>
      </c>
      <c r="BI23" s="11">
        <v>9443278.1225726642</v>
      </c>
      <c r="BJ23" s="11">
        <v>9199384.6659999993</v>
      </c>
      <c r="BK23" s="11">
        <v>9547910.0675000008</v>
      </c>
      <c r="BL23" s="11">
        <v>8857104.1587899998</v>
      </c>
      <c r="BM23" s="11">
        <v>9645723.2431000024</v>
      </c>
      <c r="BN23" s="11">
        <v>8484013.7611798327</v>
      </c>
      <c r="BO23" s="11">
        <v>9735580.7200000007</v>
      </c>
      <c r="BP23" s="11">
        <v>9184886.1099999994</v>
      </c>
      <c r="BQ23" s="21">
        <f t="shared" si="62"/>
        <v>107068900.56666341</v>
      </c>
      <c r="BR23" s="11">
        <v>8458272.4131099992</v>
      </c>
      <c r="BS23" s="11">
        <v>8559467.5356999952</v>
      </c>
      <c r="BT23" s="11">
        <v>9584391.2389000021</v>
      </c>
    </row>
    <row r="24" spans="1:73">
      <c r="A24" s="9">
        <v>2110120</v>
      </c>
      <c r="B24" s="85" t="s">
        <v>30</v>
      </c>
      <c r="C24" s="81" t="s">
        <v>29</v>
      </c>
      <c r="D24" s="81" t="s">
        <v>35</v>
      </c>
      <c r="E24" s="11">
        <v>0</v>
      </c>
      <c r="F24" s="11">
        <v>340498.63649435999</v>
      </c>
      <c r="G24" s="11">
        <v>190373.06648238146</v>
      </c>
      <c r="H24" s="11">
        <v>931027.58415469504</v>
      </c>
      <c r="I24" s="11">
        <v>1026855.1478611679</v>
      </c>
      <c r="J24" s="11">
        <v>989278.81129687792</v>
      </c>
      <c r="K24" s="11">
        <v>1080347.4749911365</v>
      </c>
      <c r="L24" s="11">
        <v>1000990.1991810392</v>
      </c>
      <c r="M24" s="11">
        <v>1244834.681733276</v>
      </c>
      <c r="N24" s="11">
        <v>871236.87610232516</v>
      </c>
      <c r="O24" s="11">
        <v>856952.86420318473</v>
      </c>
      <c r="P24" s="11">
        <v>649326.41915223596</v>
      </c>
      <c r="Q24" s="21">
        <f t="shared" si="58"/>
        <v>9181721.7616526783</v>
      </c>
      <c r="R24" s="11">
        <v>796581.27271899849</v>
      </c>
      <c r="S24" s="11">
        <v>722181</v>
      </c>
      <c r="T24" s="11">
        <v>738950.74327804218</v>
      </c>
      <c r="U24" s="11">
        <v>818076.11849999998</v>
      </c>
      <c r="V24" s="11">
        <v>800518.6875</v>
      </c>
      <c r="W24" s="11">
        <v>844008.375</v>
      </c>
      <c r="X24" s="11">
        <v>752727.75</v>
      </c>
      <c r="Y24" s="11">
        <v>844833.75</v>
      </c>
      <c r="Z24" s="11">
        <v>825429</v>
      </c>
      <c r="AA24" s="11">
        <v>841169.5</v>
      </c>
      <c r="AB24" s="11">
        <v>767375</v>
      </c>
      <c r="AC24" s="11">
        <v>926139</v>
      </c>
      <c r="AD24" s="21">
        <f t="shared" si="59"/>
        <v>9677990.1969970409</v>
      </c>
      <c r="AE24" s="11">
        <v>765729.5</v>
      </c>
      <c r="AF24" s="11">
        <v>785183.5</v>
      </c>
      <c r="AG24" s="11">
        <v>917413.08044425002</v>
      </c>
      <c r="AH24" s="11">
        <v>775877.96169324988</v>
      </c>
      <c r="AI24" s="11">
        <v>906714.3125</v>
      </c>
      <c r="AJ24" s="11">
        <v>791413.375</v>
      </c>
      <c r="AK24" s="11">
        <v>856579.25</v>
      </c>
      <c r="AL24" s="11">
        <v>761578</v>
      </c>
      <c r="AM24" s="11">
        <v>806661.75</v>
      </c>
      <c r="AN24" s="11">
        <v>769088.47</v>
      </c>
      <c r="AO24" s="11">
        <v>768870.14</v>
      </c>
      <c r="AP24" s="11">
        <v>896157</v>
      </c>
      <c r="AQ24" s="21">
        <f t="shared" si="60"/>
        <v>9801266.3396374993</v>
      </c>
      <c r="AR24" s="11">
        <v>808160.5</v>
      </c>
      <c r="AS24" s="11">
        <v>817710.5</v>
      </c>
      <c r="AT24" s="11">
        <v>883176.81</v>
      </c>
      <c r="AU24" s="11">
        <v>489880.15547500015</v>
      </c>
      <c r="AV24" s="11">
        <v>883921.14999999991</v>
      </c>
      <c r="AW24" s="11">
        <v>834427.69000000006</v>
      </c>
      <c r="AX24" s="11">
        <v>779067.75</v>
      </c>
      <c r="AY24" s="11">
        <v>918973.5</v>
      </c>
      <c r="AZ24" s="11">
        <v>825179</v>
      </c>
      <c r="BA24" s="11">
        <v>915794.79590000003</v>
      </c>
      <c r="BB24" s="11">
        <v>851794.55460000003</v>
      </c>
      <c r="BC24" s="11">
        <v>856163.12800000003</v>
      </c>
      <c r="BD24" s="21">
        <f t="shared" si="61"/>
        <v>9864249.5339750014</v>
      </c>
      <c r="BE24" s="11">
        <v>751373.5</v>
      </c>
      <c r="BF24" s="11">
        <v>790745.5</v>
      </c>
      <c r="BG24" s="11">
        <v>862358</v>
      </c>
      <c r="BH24" s="11">
        <v>749453.19195399992</v>
      </c>
      <c r="BI24" s="11">
        <v>901027.09499999997</v>
      </c>
      <c r="BJ24" s="11">
        <v>875298.625</v>
      </c>
      <c r="BK24" s="11">
        <v>922373.75</v>
      </c>
      <c r="BL24" s="11">
        <v>853340.75</v>
      </c>
      <c r="BM24" s="11">
        <v>919326</v>
      </c>
      <c r="BN24" s="11">
        <v>825252.87890625</v>
      </c>
      <c r="BO24" s="11">
        <v>912365.85</v>
      </c>
      <c r="BP24" s="11">
        <v>867889.33</v>
      </c>
      <c r="BQ24" s="21">
        <f t="shared" si="62"/>
        <v>10230804.47086025</v>
      </c>
      <c r="BR24" s="11">
        <v>810969</v>
      </c>
      <c r="BS24" s="11">
        <v>833248.19909999997</v>
      </c>
      <c r="BT24" s="11">
        <v>934396.56920000003</v>
      </c>
    </row>
    <row r="25" spans="1:73">
      <c r="A25" s="9">
        <v>2110130</v>
      </c>
      <c r="B25" s="85" t="s">
        <v>30</v>
      </c>
      <c r="C25" s="81" t="s">
        <v>29</v>
      </c>
      <c r="D25" s="81" t="s">
        <v>36</v>
      </c>
      <c r="E25" s="11">
        <v>0</v>
      </c>
      <c r="F25" s="11">
        <v>0</v>
      </c>
      <c r="G25" s="11">
        <v>88.766046873940269</v>
      </c>
      <c r="H25" s="11">
        <v>9721.3101806292561</v>
      </c>
      <c r="I25" s="11">
        <v>10721.892211171811</v>
      </c>
      <c r="J25" s="11">
        <v>10329.539471671787</v>
      </c>
      <c r="K25" s="11">
        <v>11280.43152103152</v>
      </c>
      <c r="L25" s="11">
        <v>10451.823747890052</v>
      </c>
      <c r="M25" s="11">
        <v>0</v>
      </c>
      <c r="N25" s="11">
        <v>0</v>
      </c>
      <c r="O25" s="11">
        <v>0</v>
      </c>
      <c r="P25" s="11">
        <v>0</v>
      </c>
      <c r="Q25" s="21">
        <f t="shared" si="58"/>
        <v>52593.763179268368</v>
      </c>
      <c r="R25" s="11">
        <v>0</v>
      </c>
      <c r="S25" s="11">
        <v>0</v>
      </c>
      <c r="T25" s="11">
        <v>0</v>
      </c>
      <c r="U25" s="11">
        <v>0</v>
      </c>
      <c r="V25" s="11">
        <v>13200</v>
      </c>
      <c r="W25" s="11"/>
      <c r="X25" s="11"/>
      <c r="Y25" s="11"/>
      <c r="Z25" s="11"/>
      <c r="AA25" s="11"/>
      <c r="AB25" s="11"/>
      <c r="AC25" s="11"/>
      <c r="AD25" s="21">
        <f t="shared" si="59"/>
        <v>13200</v>
      </c>
      <c r="AE25" s="11">
        <v>0</v>
      </c>
      <c r="AF25" s="11"/>
      <c r="AG25" s="11"/>
      <c r="AH25" s="11"/>
      <c r="AI25" s="11"/>
      <c r="AJ25" s="11"/>
      <c r="AK25" s="11"/>
      <c r="AL25" s="11"/>
      <c r="AM25" s="11"/>
      <c r="AN25" s="11"/>
      <c r="AO25" s="11">
        <v>0</v>
      </c>
      <c r="AP25" s="11">
        <v>0</v>
      </c>
      <c r="AQ25" s="21">
        <f t="shared" si="60"/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21">
        <f t="shared" si="61"/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 t="s">
        <v>37</v>
      </c>
      <c r="BP25" s="11" t="s">
        <v>37</v>
      </c>
      <c r="BQ25" s="21">
        <f t="shared" si="62"/>
        <v>0</v>
      </c>
      <c r="BR25" s="11">
        <v>0</v>
      </c>
      <c r="BS25" s="11">
        <v>0</v>
      </c>
      <c r="BT25" s="11">
        <v>0</v>
      </c>
    </row>
    <row r="26" spans="1:73">
      <c r="A26" s="9">
        <v>2110140</v>
      </c>
      <c r="B26" s="85" t="s">
        <v>30</v>
      </c>
      <c r="C26" s="81" t="s">
        <v>29</v>
      </c>
      <c r="D26" s="81" t="s">
        <v>94</v>
      </c>
      <c r="E26" s="11">
        <v>0</v>
      </c>
      <c r="F26" s="11">
        <v>102149.590948308</v>
      </c>
      <c r="G26" s="11">
        <v>509335.59625004907</v>
      </c>
      <c r="H26" s="11">
        <v>779966.53802205238</v>
      </c>
      <c r="I26" s="11">
        <v>860245.89212850016</v>
      </c>
      <c r="J26" s="11">
        <v>828766.38965144882</v>
      </c>
      <c r="K26" s="11">
        <v>905058.98457858618</v>
      </c>
      <c r="L26" s="11">
        <v>838577.58195004892</v>
      </c>
      <c r="M26" s="11">
        <v>884476.52422910777</v>
      </c>
      <c r="N26" s="11">
        <v>340926.65457631927</v>
      </c>
      <c r="O26" s="11">
        <v>717910.58623412694</v>
      </c>
      <c r="P26" s="11">
        <v>313054.75517836428</v>
      </c>
      <c r="Q26" s="21">
        <f t="shared" si="58"/>
        <v>7080469.0937469117</v>
      </c>
      <c r="R26" s="11">
        <v>388424.47271956003</v>
      </c>
      <c r="S26" s="11">
        <v>386905.54835346504</v>
      </c>
      <c r="T26" s="11">
        <v>416588.14631565061</v>
      </c>
      <c r="U26" s="11">
        <v>424816.56759173621</v>
      </c>
      <c r="V26" s="11">
        <v>381948.93634894176</v>
      </c>
      <c r="W26" s="11">
        <v>484039.88284268661</v>
      </c>
      <c r="X26" s="11">
        <v>353562.82431613596</v>
      </c>
      <c r="Y26" s="11">
        <v>429313.44780197996</v>
      </c>
      <c r="Z26" s="11">
        <v>400191.80781615095</v>
      </c>
      <c r="AA26" s="11">
        <v>449197.74893819576</v>
      </c>
      <c r="AB26" s="11">
        <v>423709.26802693994</v>
      </c>
      <c r="AC26" s="11">
        <v>498037.78</v>
      </c>
      <c r="AD26" s="21">
        <f t="shared" si="59"/>
        <v>5036736.4310714426</v>
      </c>
      <c r="AE26" s="11">
        <v>406312.42273704417</v>
      </c>
      <c r="AF26" s="11">
        <v>415099.46497282537</v>
      </c>
      <c r="AG26" s="11">
        <v>479919.92080370605</v>
      </c>
      <c r="AH26" s="11">
        <v>1025325.7885417484</v>
      </c>
      <c r="AI26" s="11">
        <v>484342.29039005842</v>
      </c>
      <c r="AJ26" s="11">
        <v>448588.66839827975</v>
      </c>
      <c r="AK26" s="11">
        <v>506003.7132140043</v>
      </c>
      <c r="AL26" s="11">
        <v>458226.184047485</v>
      </c>
      <c r="AM26" s="11">
        <v>492833.81000000006</v>
      </c>
      <c r="AN26" s="11">
        <v>418317.08000000025</v>
      </c>
      <c r="AO26" s="11">
        <v>409100.82000000007</v>
      </c>
      <c r="AP26" s="11">
        <v>507233.36999999965</v>
      </c>
      <c r="AQ26" s="21">
        <f t="shared" si="60"/>
        <v>6051303.5331051517</v>
      </c>
      <c r="AR26" s="11">
        <v>451320.14999999979</v>
      </c>
      <c r="AS26" s="11">
        <v>449741.35403024312</v>
      </c>
      <c r="AT26" s="11">
        <v>491990.72</v>
      </c>
      <c r="AU26" s="11">
        <v>290044.8522673496</v>
      </c>
      <c r="AV26" s="11">
        <v>524070.52000000014</v>
      </c>
      <c r="AW26" s="11">
        <v>449880.37000000005</v>
      </c>
      <c r="AX26" s="11">
        <v>441153.32242660935</v>
      </c>
      <c r="AY26" s="11">
        <v>430095.34830000007</v>
      </c>
      <c r="AZ26" s="11">
        <v>488887.39381167444</v>
      </c>
      <c r="BA26" s="11">
        <v>525114.50729999994</v>
      </c>
      <c r="BB26" s="11">
        <v>578955.17356999998</v>
      </c>
      <c r="BC26" s="11">
        <v>594513.38345000008</v>
      </c>
      <c r="BD26" s="21">
        <f t="shared" si="61"/>
        <v>5715767.0951558761</v>
      </c>
      <c r="BE26" s="11">
        <v>453798.05609799986</v>
      </c>
      <c r="BF26" s="11">
        <v>511925.55817217624</v>
      </c>
      <c r="BG26" s="11">
        <v>566403.72388864309</v>
      </c>
      <c r="BH26" s="11">
        <v>417350.02635767107</v>
      </c>
      <c r="BI26" s="11">
        <v>537819.83837682125</v>
      </c>
      <c r="BJ26" s="11">
        <v>542405.11639999994</v>
      </c>
      <c r="BK26" s="11">
        <v>536733.82420000015</v>
      </c>
      <c r="BL26" s="11">
        <v>443100.13815200009</v>
      </c>
      <c r="BM26" s="11">
        <v>443783.93820000009</v>
      </c>
      <c r="BN26" s="11">
        <v>426756.04229760147</v>
      </c>
      <c r="BO26" s="11">
        <v>488816.57</v>
      </c>
      <c r="BP26" s="11">
        <v>509719.57</v>
      </c>
      <c r="BQ26" s="21">
        <f t="shared" si="62"/>
        <v>5878612.4021429131</v>
      </c>
      <c r="BR26" s="11">
        <v>502592.69205499988</v>
      </c>
      <c r="BS26" s="11">
        <v>465724.23301999987</v>
      </c>
      <c r="BT26" s="11">
        <v>577894.48490000016</v>
      </c>
    </row>
    <row r="27" spans="1:73">
      <c r="A27" s="9">
        <v>2110150</v>
      </c>
      <c r="B27" s="85" t="s">
        <v>30</v>
      </c>
      <c r="C27" s="81" t="s">
        <v>29</v>
      </c>
      <c r="D27" s="81" t="s">
        <v>38</v>
      </c>
      <c r="E27" s="11">
        <v>0</v>
      </c>
      <c r="F27" s="11">
        <v>40859.836379323206</v>
      </c>
      <c r="G27" s="11">
        <v>339557.06416669948</v>
      </c>
      <c r="H27" s="11">
        <v>385637.23448014673</v>
      </c>
      <c r="I27" s="11">
        <v>425329.58869571646</v>
      </c>
      <c r="J27" s="11">
        <v>409765.24370619113</v>
      </c>
      <c r="K27" s="11">
        <v>447486.43286595412</v>
      </c>
      <c r="L27" s="11">
        <v>414616.17112492363</v>
      </c>
      <c r="M27" s="11">
        <v>581836.22181654128</v>
      </c>
      <c r="N27" s="11">
        <v>511389.98186447885</v>
      </c>
      <c r="O27" s="11">
        <v>354955.03920133814</v>
      </c>
      <c r="P27" s="11">
        <v>336267.79708140087</v>
      </c>
      <c r="Q27" s="21">
        <f t="shared" si="58"/>
        <v>4247700.6113827145</v>
      </c>
      <c r="R27" s="11">
        <v>413124.38677171449</v>
      </c>
      <c r="S27" s="11">
        <v>377892.5</v>
      </c>
      <c r="T27" s="11">
        <v>363621.09772150218</v>
      </c>
      <c r="U27" s="11">
        <v>427093.5</v>
      </c>
      <c r="V27" s="11">
        <v>387268</v>
      </c>
      <c r="W27" s="11">
        <v>401798</v>
      </c>
      <c r="X27" s="11">
        <v>376736</v>
      </c>
      <c r="Y27" s="11">
        <v>451653</v>
      </c>
      <c r="Z27" s="11">
        <v>413639</v>
      </c>
      <c r="AA27" s="11">
        <v>386453.5</v>
      </c>
      <c r="AB27" s="11">
        <v>359299.5</v>
      </c>
      <c r="AC27" s="11">
        <v>464982.5</v>
      </c>
      <c r="AD27" s="21">
        <f t="shared" si="59"/>
        <v>4823560.9844932165</v>
      </c>
      <c r="AE27" s="11">
        <v>389666.42956700001</v>
      </c>
      <c r="AF27" s="11">
        <v>364291.30673800001</v>
      </c>
      <c r="AG27" s="11">
        <v>395023.52050774998</v>
      </c>
      <c r="AH27" s="11">
        <v>335107.26072899997</v>
      </c>
      <c r="AI27" s="11">
        <v>439902.73063550005</v>
      </c>
      <c r="AJ27" s="11">
        <v>382289.59</v>
      </c>
      <c r="AK27" s="11">
        <v>403369.875</v>
      </c>
      <c r="AL27" s="11">
        <v>341112.25</v>
      </c>
      <c r="AM27" s="11">
        <v>352191.75</v>
      </c>
      <c r="AN27" s="11">
        <v>394254.1999999999</v>
      </c>
      <c r="AO27" s="11">
        <v>323076.55999999994</v>
      </c>
      <c r="AP27" s="11">
        <v>390257.22</v>
      </c>
      <c r="AQ27" s="21">
        <f t="shared" si="60"/>
        <v>4510542.6931772493</v>
      </c>
      <c r="AR27" s="11">
        <v>426072.74</v>
      </c>
      <c r="AS27" s="11">
        <v>480256.36015374993</v>
      </c>
      <c r="AT27" s="11">
        <v>514072.59000000008</v>
      </c>
      <c r="AU27" s="11">
        <v>250075.78562525005</v>
      </c>
      <c r="AV27" s="11">
        <v>413901.29999999993</v>
      </c>
      <c r="AW27" s="11">
        <v>424818.77999999997</v>
      </c>
      <c r="AX27" s="11">
        <v>350628.81650650001</v>
      </c>
      <c r="AY27" s="11">
        <v>461582.00449999992</v>
      </c>
      <c r="AZ27" s="11">
        <v>359379.01782299997</v>
      </c>
      <c r="BA27" s="11">
        <v>411699.28199999995</v>
      </c>
      <c r="BB27" s="11">
        <v>323632.23473000003</v>
      </c>
      <c r="BC27" s="11">
        <v>323152.67174999992</v>
      </c>
      <c r="BD27" s="21">
        <f t="shared" si="61"/>
        <v>4739271.5830884995</v>
      </c>
      <c r="BE27" s="11">
        <v>271574.30206199997</v>
      </c>
      <c r="BF27" s="11">
        <v>358573.11770574993</v>
      </c>
      <c r="BG27" s="11">
        <v>378917.6395192499</v>
      </c>
      <c r="BH27" s="11">
        <v>349683.5827345</v>
      </c>
      <c r="BI27" s="11">
        <v>411505.35063425009</v>
      </c>
      <c r="BJ27" s="11">
        <v>421087.16959999996</v>
      </c>
      <c r="BK27" s="11">
        <v>427275.51829999988</v>
      </c>
      <c r="BL27" s="11">
        <v>365200.89018799987</v>
      </c>
      <c r="BM27" s="11">
        <v>435640.68469999998</v>
      </c>
      <c r="BN27" s="11">
        <v>374016.9543785</v>
      </c>
      <c r="BO27" s="11">
        <v>439943.73</v>
      </c>
      <c r="BP27" s="11">
        <v>407157.48</v>
      </c>
      <c r="BQ27" s="21">
        <f t="shared" si="62"/>
        <v>4640576.4198222496</v>
      </c>
      <c r="BR27" s="11">
        <v>344633.08429500007</v>
      </c>
      <c r="BS27" s="11">
        <v>344387.12718000001</v>
      </c>
      <c r="BT27" s="11">
        <v>336007.51699999988</v>
      </c>
    </row>
    <row r="28" spans="1:73">
      <c r="A28" s="40"/>
      <c r="B28" s="86"/>
      <c r="C28" s="18" t="s">
        <v>39</v>
      </c>
      <c r="D28" s="18"/>
      <c r="E28" s="16">
        <f>+SUM(E29:E30)</f>
        <v>607498.67830165045</v>
      </c>
      <c r="F28" s="16">
        <f>+SUM(F29:F30)</f>
        <v>1064313.1847850413</v>
      </c>
      <c r="G28" s="16">
        <f t="shared" ref="G28:AE28" si="63">+SUM(G29:G30)</f>
        <v>1647764.8592391559</v>
      </c>
      <c r="H28" s="16">
        <f t="shared" si="63"/>
        <v>1460545.9735465632</v>
      </c>
      <c r="I28" s="16">
        <f t="shared" si="63"/>
        <v>1610875.0988144679</v>
      </c>
      <c r="J28" s="16">
        <f t="shared" si="63"/>
        <v>1551927.364070998</v>
      </c>
      <c r="K28" s="16">
        <f t="shared" si="63"/>
        <v>1694790.9830857653</v>
      </c>
      <c r="L28" s="16">
        <f t="shared" si="63"/>
        <v>1570299.5591702273</v>
      </c>
      <c r="M28" s="16">
        <f t="shared" si="63"/>
        <v>1782992.8538813218</v>
      </c>
      <c r="N28" s="16">
        <f t="shared" si="63"/>
        <v>3555518.0480868695</v>
      </c>
      <c r="O28" s="16">
        <f t="shared" si="63"/>
        <v>2952300.3026333759</v>
      </c>
      <c r="P28" s="16">
        <f t="shared" si="63"/>
        <v>3053561.6582394112</v>
      </c>
      <c r="Q28" s="25">
        <f>+SUM(E28:P28)</f>
        <v>22552388.563854843</v>
      </c>
      <c r="R28" s="16">
        <f t="shared" si="63"/>
        <v>3560275.7427177834</v>
      </c>
      <c r="S28" s="16">
        <f t="shared" si="63"/>
        <v>3020363.380396917</v>
      </c>
      <c r="T28" s="16">
        <f t="shared" si="63"/>
        <v>3335121.8331492762</v>
      </c>
      <c r="U28" s="16">
        <f t="shared" si="63"/>
        <v>3659112.5635078847</v>
      </c>
      <c r="V28" s="16">
        <f t="shared" si="63"/>
        <v>3611308.2198998956</v>
      </c>
      <c r="W28" s="16">
        <f t="shared" si="63"/>
        <v>3770863.3471870413</v>
      </c>
      <c r="X28" s="16">
        <f t="shared" si="63"/>
        <v>3466619.9093799712</v>
      </c>
      <c r="Y28" s="16">
        <f t="shared" si="63"/>
        <v>3670241.5351649481</v>
      </c>
      <c r="Z28" s="16">
        <f t="shared" si="63"/>
        <v>3494833.7061800407</v>
      </c>
      <c r="AA28" s="16">
        <f t="shared" si="63"/>
        <v>3616215.6729562301</v>
      </c>
      <c r="AB28" s="16">
        <f t="shared" si="63"/>
        <v>3608578.4768567118</v>
      </c>
      <c r="AC28" s="16">
        <f t="shared" si="63"/>
        <v>4569190.8499999996</v>
      </c>
      <c r="AD28" s="16">
        <f t="shared" si="63"/>
        <v>43382725.237396702</v>
      </c>
      <c r="AE28" s="16">
        <f t="shared" si="63"/>
        <v>3852899.7144715274</v>
      </c>
      <c r="AF28" s="16">
        <f t="shared" ref="AF28:AP28" si="64">+SUM(AF29:AF30)</f>
        <v>3699519.0577539457</v>
      </c>
      <c r="AG28" s="16">
        <f t="shared" si="64"/>
        <v>4477151.6792040039</v>
      </c>
      <c r="AH28" s="16">
        <f t="shared" si="64"/>
        <v>4216731.1489186557</v>
      </c>
      <c r="AI28" s="16">
        <f t="shared" si="64"/>
        <v>4146861.0604729494</v>
      </c>
      <c r="AJ28" s="16">
        <f t="shared" si="64"/>
        <v>3850837.4929123749</v>
      </c>
      <c r="AK28" s="16">
        <f t="shared" si="64"/>
        <v>4464122.5093212938</v>
      </c>
      <c r="AL28" s="16">
        <f t="shared" si="64"/>
        <v>4410564.3886332903</v>
      </c>
      <c r="AM28" s="16">
        <f t="shared" si="64"/>
        <v>4866569.76</v>
      </c>
      <c r="AN28" s="16">
        <f t="shared" si="64"/>
        <v>4521395.0600000005</v>
      </c>
      <c r="AO28" s="16">
        <f t="shared" si="64"/>
        <v>4060311.8699999987</v>
      </c>
      <c r="AP28" s="16">
        <f t="shared" si="64"/>
        <v>4470521.68</v>
      </c>
      <c r="AQ28" s="16">
        <f t="shared" ref="AQ28:AQ34" si="65">+SUM(AE28:AP28)</f>
        <v>51037485.421688043</v>
      </c>
      <c r="AR28" s="16">
        <f t="shared" ref="AR28:BC28" si="66">+SUM(AR29:AR30)</f>
        <v>4465109.0300000012</v>
      </c>
      <c r="AS28" s="16">
        <f t="shared" si="66"/>
        <v>4370292.5569761163</v>
      </c>
      <c r="AT28" s="16">
        <f t="shared" si="66"/>
        <v>4765883.3699999992</v>
      </c>
      <c r="AU28" s="16">
        <f t="shared" si="66"/>
        <v>3249872.0771502373</v>
      </c>
      <c r="AV28" s="16">
        <f t="shared" si="66"/>
        <v>4608801.040000001</v>
      </c>
      <c r="AW28" s="16">
        <f t="shared" si="66"/>
        <v>4270987.6500000013</v>
      </c>
      <c r="AX28" s="16">
        <f t="shared" si="66"/>
        <v>4050934.2064632303</v>
      </c>
      <c r="AY28" s="16">
        <f t="shared" si="66"/>
        <v>4346420.3933999995</v>
      </c>
      <c r="AZ28" s="16">
        <f t="shared" si="66"/>
        <v>4227001.1460951651</v>
      </c>
      <c r="BA28" s="16">
        <f t="shared" si="66"/>
        <v>4360972.5329999998</v>
      </c>
      <c r="BB28" s="16">
        <f t="shared" si="66"/>
        <v>4337877.372200001</v>
      </c>
      <c r="BC28" s="16">
        <f t="shared" si="66"/>
        <v>4397553.0717000002</v>
      </c>
      <c r="BD28" s="16">
        <f t="shared" ref="BD28:BD34" si="67">+SUM(AR28:BC28)</f>
        <v>51451704.446984746</v>
      </c>
      <c r="BE28" s="16">
        <f t="shared" ref="BE28:BF28" si="68">+SUM(BE29:BE30)</f>
        <v>4137071.0336999996</v>
      </c>
      <c r="BF28" s="16">
        <f t="shared" si="68"/>
        <v>3940153.8193052425</v>
      </c>
      <c r="BG28" s="16">
        <f t="shared" ref="BG28:BH28" si="69">+SUM(BG29:BG30)</f>
        <v>4685889.5569614898</v>
      </c>
      <c r="BH28" s="16">
        <f t="shared" si="69"/>
        <v>4235465.4972645501</v>
      </c>
      <c r="BI28" s="16">
        <f t="shared" ref="BI28:BJ28" si="70">+SUM(BI29:BI30)</f>
        <v>4494460.3772221282</v>
      </c>
      <c r="BJ28" s="16">
        <f t="shared" si="70"/>
        <v>4454419.4413000001</v>
      </c>
      <c r="BK28" s="16">
        <f t="shared" ref="BK28:BL28" si="71">+SUM(BK29:BK30)</f>
        <v>4660321.1298999991</v>
      </c>
      <c r="BL28" s="16">
        <f t="shared" si="71"/>
        <v>4346502.9910999984</v>
      </c>
      <c r="BM28" s="16">
        <f t="shared" ref="BM28:BN28" si="72">+SUM(BM29:BM30)</f>
        <v>4620966.9947999986</v>
      </c>
      <c r="BN28" s="16">
        <f t="shared" si="72"/>
        <v>4320108.2632414112</v>
      </c>
      <c r="BO28" s="16">
        <f t="shared" ref="BO28:BP28" si="73">+SUM(BO29:BO30)</f>
        <v>4476398.57</v>
      </c>
      <c r="BP28" s="16">
        <f t="shared" si="73"/>
        <v>4687223.68</v>
      </c>
      <c r="BQ28" s="16">
        <f t="shared" si="62"/>
        <v>53058981.354794823</v>
      </c>
      <c r="BR28" s="16">
        <f t="shared" ref="BR28:BS28" si="74">+SUM(BR29:BR30)</f>
        <v>4420180.5924000004</v>
      </c>
      <c r="BS28" s="16">
        <f t="shared" si="74"/>
        <v>4378780.1972000003</v>
      </c>
      <c r="BT28" s="16">
        <f t="shared" ref="BT28" si="75">+SUM(BT29:BT30)</f>
        <v>4907072.2478999998</v>
      </c>
    </row>
    <row r="29" spans="1:73">
      <c r="A29" s="9">
        <v>2130111</v>
      </c>
      <c r="B29" s="85" t="s">
        <v>40</v>
      </c>
      <c r="C29" s="81" t="s">
        <v>39</v>
      </c>
      <c r="D29" s="81" t="s">
        <v>41</v>
      </c>
      <c r="E29" s="11">
        <v>76314.617765702773</v>
      </c>
      <c r="F29" s="11">
        <v>504132.39654040959</v>
      </c>
      <c r="G29" s="11">
        <v>363002.28885364335</v>
      </c>
      <c r="H29" s="11">
        <v>524395.74706938863</v>
      </c>
      <c r="I29" s="11">
        <v>578370.05214362557</v>
      </c>
      <c r="J29" s="11">
        <v>557205.40415668942</v>
      </c>
      <c r="K29" s="11">
        <v>608499.28711496992</v>
      </c>
      <c r="L29" s="11">
        <v>563801.77369853295</v>
      </c>
      <c r="M29" s="11">
        <v>612660.3131647004</v>
      </c>
      <c r="N29" s="11">
        <v>608822.82644416334</v>
      </c>
      <c r="O29" s="11">
        <v>602882.44465306273</v>
      </c>
      <c r="P29" s="11">
        <v>567553.62628982798</v>
      </c>
      <c r="Q29" s="21">
        <f>+SUM(E29:P29)</f>
        <v>6167640.7778947167</v>
      </c>
      <c r="R29" s="11">
        <v>599551.08056695235</v>
      </c>
      <c r="S29" s="11">
        <v>556093.03736496391</v>
      </c>
      <c r="T29" s="11">
        <v>595126.27581470169</v>
      </c>
      <c r="U29" s="11">
        <v>651704.08648358565</v>
      </c>
      <c r="V29" s="11">
        <v>646043.544367505</v>
      </c>
      <c r="W29" s="11">
        <v>647559.00003596058</v>
      </c>
      <c r="X29" s="11">
        <v>609239.51572246407</v>
      </c>
      <c r="Y29" s="11">
        <v>606694.84478003206</v>
      </c>
      <c r="Z29" s="11">
        <v>609542.20408174046</v>
      </c>
      <c r="AA29" s="11">
        <v>626884.97160655458</v>
      </c>
      <c r="AB29" s="11">
        <v>574861.79762650654</v>
      </c>
      <c r="AC29" s="11">
        <v>642630.81999999995</v>
      </c>
      <c r="AD29" s="21">
        <f>+SUM(R29:AC29)</f>
        <v>7365931.1784509681</v>
      </c>
      <c r="AE29" s="11">
        <v>553384.82122113055</v>
      </c>
      <c r="AF29" s="11">
        <v>505646.94582120911</v>
      </c>
      <c r="AG29" s="11">
        <v>598403.02911114786</v>
      </c>
      <c r="AH29" s="11">
        <v>760879.89594877313</v>
      </c>
      <c r="AI29" s="11">
        <v>601255.66772064799</v>
      </c>
      <c r="AJ29" s="11">
        <v>576168.07085426536</v>
      </c>
      <c r="AK29" s="11">
        <v>783560.6918742673</v>
      </c>
      <c r="AL29" s="11">
        <v>764180.27048620535</v>
      </c>
      <c r="AM29" s="11">
        <v>786234.10000000009</v>
      </c>
      <c r="AN29" s="11">
        <v>753283.54000000015</v>
      </c>
      <c r="AO29" s="11">
        <v>680983.7300000001</v>
      </c>
      <c r="AP29" s="11">
        <v>768734.09</v>
      </c>
      <c r="AQ29" s="21">
        <f t="shared" si="65"/>
        <v>8132714.853037647</v>
      </c>
      <c r="AR29" s="11">
        <v>721565.75000000012</v>
      </c>
      <c r="AS29" s="11">
        <v>706059.12993777276</v>
      </c>
      <c r="AT29" s="11">
        <v>744185.72999999986</v>
      </c>
      <c r="AU29" s="11">
        <v>600632.93037582969</v>
      </c>
      <c r="AV29" s="11">
        <v>730383.37000000023</v>
      </c>
      <c r="AW29" s="11">
        <v>732252.41</v>
      </c>
      <c r="AX29" s="11">
        <v>684603.414773928</v>
      </c>
      <c r="AY29" s="11">
        <v>700928.37939999998</v>
      </c>
      <c r="AZ29" s="11">
        <v>689775.61140604806</v>
      </c>
      <c r="BA29" s="11">
        <v>672020.68319999997</v>
      </c>
      <c r="BB29" s="11">
        <v>682255.22910000011</v>
      </c>
      <c r="BC29" s="11">
        <v>705122.62160000007</v>
      </c>
      <c r="BD29" s="21">
        <f t="shared" si="67"/>
        <v>8369785.2597935786</v>
      </c>
      <c r="BE29" s="11">
        <v>658309.77500000014</v>
      </c>
      <c r="BF29" s="11">
        <v>617485.33126476745</v>
      </c>
      <c r="BG29" s="11">
        <v>723103.0511154508</v>
      </c>
      <c r="BH29" s="11">
        <v>682111.51285957871</v>
      </c>
      <c r="BI29" s="11">
        <v>733170.67601949617</v>
      </c>
      <c r="BJ29" s="11">
        <v>730346.34429999988</v>
      </c>
      <c r="BK29" s="11">
        <v>764392.61780000012</v>
      </c>
      <c r="BL29" s="11">
        <v>756266.59949999989</v>
      </c>
      <c r="BM29" s="11">
        <v>772485.72579999967</v>
      </c>
      <c r="BN29" s="11">
        <v>736004.66772267467</v>
      </c>
      <c r="BO29" s="11">
        <v>746596.6</v>
      </c>
      <c r="BP29" s="11">
        <v>753823.39</v>
      </c>
      <c r="BQ29" s="21">
        <f t="shared" si="62"/>
        <v>8674096.2913819663</v>
      </c>
      <c r="BR29" s="11">
        <v>756490.42629999982</v>
      </c>
      <c r="BS29" s="11">
        <v>699782.94030000002</v>
      </c>
      <c r="BT29" s="11">
        <v>782610.17220000003</v>
      </c>
    </row>
    <row r="30" spans="1:73">
      <c r="A30" s="9">
        <v>2130140</v>
      </c>
      <c r="B30" s="85" t="s">
        <v>40</v>
      </c>
      <c r="C30" s="81" t="s">
        <v>39</v>
      </c>
      <c r="D30" s="81" t="s">
        <v>42</v>
      </c>
      <c r="E30" s="11">
        <v>531184.06053594768</v>
      </c>
      <c r="F30" s="11">
        <v>560180.78824463172</v>
      </c>
      <c r="G30" s="11">
        <v>1284762.5703855127</v>
      </c>
      <c r="H30" s="11">
        <v>936150.22647717455</v>
      </c>
      <c r="I30" s="11">
        <v>1032505.0466708423</v>
      </c>
      <c r="J30" s="11">
        <v>994721.95991430874</v>
      </c>
      <c r="K30" s="11">
        <v>1086291.6959707954</v>
      </c>
      <c r="L30" s="11">
        <v>1006497.7854716943</v>
      </c>
      <c r="M30" s="11">
        <v>1170332.5407166213</v>
      </c>
      <c r="N30" s="11">
        <v>2946695.2216427061</v>
      </c>
      <c r="O30" s="11">
        <v>2349417.8579803132</v>
      </c>
      <c r="P30" s="11">
        <v>2486008.0319495834</v>
      </c>
      <c r="Q30" s="21">
        <f>+SUM(E30:P30)</f>
        <v>16384747.785960132</v>
      </c>
      <c r="R30" s="11">
        <v>2960724.662150831</v>
      </c>
      <c r="S30" s="11">
        <v>2464270.3430319531</v>
      </c>
      <c r="T30" s="11">
        <v>2739995.5573345744</v>
      </c>
      <c r="U30" s="11">
        <v>3007408.4770242991</v>
      </c>
      <c r="V30" s="11">
        <v>2965264.6755323908</v>
      </c>
      <c r="W30" s="11">
        <v>3123304.3471510806</v>
      </c>
      <c r="X30" s="11">
        <v>2857380.3936575069</v>
      </c>
      <c r="Y30" s="11">
        <v>3063546.690384916</v>
      </c>
      <c r="Z30" s="11">
        <v>2885291.5020983</v>
      </c>
      <c r="AA30" s="11">
        <v>2989330.7013496757</v>
      </c>
      <c r="AB30" s="11">
        <v>3033716.6792302052</v>
      </c>
      <c r="AC30" s="11">
        <v>3926560.03</v>
      </c>
      <c r="AD30" s="21">
        <f>+SUM(R30:AC30)</f>
        <v>36016794.05894573</v>
      </c>
      <c r="AE30" s="11">
        <v>3299514.8932503969</v>
      </c>
      <c r="AF30" s="11">
        <v>3193872.1119327368</v>
      </c>
      <c r="AG30" s="11">
        <v>3878748.650092856</v>
      </c>
      <c r="AH30" s="11">
        <v>3455851.2529698829</v>
      </c>
      <c r="AI30" s="11">
        <v>3545605.3927523014</v>
      </c>
      <c r="AJ30" s="11">
        <v>3274669.4220581097</v>
      </c>
      <c r="AK30" s="11">
        <v>3680561.8174470267</v>
      </c>
      <c r="AL30" s="11">
        <v>3646384.1181470854</v>
      </c>
      <c r="AM30" s="11">
        <v>4080335.6599999997</v>
      </c>
      <c r="AN30" s="11">
        <v>3768111.52</v>
      </c>
      <c r="AO30" s="11">
        <v>3379328.1399999987</v>
      </c>
      <c r="AP30" s="11">
        <v>3701787.59</v>
      </c>
      <c r="AQ30" s="21">
        <f t="shared" si="65"/>
        <v>42904770.568650395</v>
      </c>
      <c r="AR30" s="11">
        <v>3743543.2800000007</v>
      </c>
      <c r="AS30" s="11">
        <v>3664233.4270383432</v>
      </c>
      <c r="AT30" s="11">
        <v>4021697.6399999997</v>
      </c>
      <c r="AU30" s="11">
        <v>2649239.1467744075</v>
      </c>
      <c r="AV30" s="11">
        <v>3878417.6700000004</v>
      </c>
      <c r="AW30" s="11">
        <v>3538735.2400000012</v>
      </c>
      <c r="AX30" s="11">
        <v>3366330.7916893023</v>
      </c>
      <c r="AY30" s="11">
        <v>3645492.0139999995</v>
      </c>
      <c r="AZ30" s="11">
        <v>3537225.5346891168</v>
      </c>
      <c r="BA30" s="11">
        <v>3688951.8498</v>
      </c>
      <c r="BB30" s="11">
        <v>3655622.1431000005</v>
      </c>
      <c r="BC30" s="11">
        <v>3692430.4501</v>
      </c>
      <c r="BD30" s="21">
        <f t="shared" si="67"/>
        <v>43081919.187191173</v>
      </c>
      <c r="BE30" s="11">
        <v>3478761.2586999992</v>
      </c>
      <c r="BF30" s="11">
        <v>3322668.4880404752</v>
      </c>
      <c r="BG30" s="11">
        <v>3962786.5058460389</v>
      </c>
      <c r="BH30" s="11">
        <v>3553353.9844049714</v>
      </c>
      <c r="BI30" s="11">
        <v>3761289.7012026324</v>
      </c>
      <c r="BJ30" s="11">
        <v>3724073.0970000001</v>
      </c>
      <c r="BK30" s="11">
        <v>3895928.5120999985</v>
      </c>
      <c r="BL30" s="11">
        <v>3590236.3915999988</v>
      </c>
      <c r="BM30" s="11">
        <v>3848481.2689999989</v>
      </c>
      <c r="BN30" s="11">
        <v>3584103.5955187366</v>
      </c>
      <c r="BO30" s="11">
        <v>3729801.97</v>
      </c>
      <c r="BP30" s="11">
        <v>3933400.29</v>
      </c>
      <c r="BQ30" s="21">
        <f t="shared" si="62"/>
        <v>44384885.063412845</v>
      </c>
      <c r="BR30" s="11">
        <v>3663690.1661000005</v>
      </c>
      <c r="BS30" s="11">
        <v>3678997.2569000004</v>
      </c>
      <c r="BT30" s="11">
        <v>4124462.0756999999</v>
      </c>
    </row>
    <row r="31" spans="1:73">
      <c r="A31" s="40"/>
      <c r="B31" s="86"/>
      <c r="C31" s="18" t="s">
        <v>43</v>
      </c>
      <c r="D31" s="18"/>
      <c r="E31" s="16">
        <f>+SUM(E33:E43)</f>
        <v>477826.18103115441</v>
      </c>
      <c r="F31" s="16">
        <f>+SUM(F33:F43)</f>
        <v>249446.84000662423</v>
      </c>
      <c r="G31" s="16">
        <f t="shared" ref="G31:AE31" si="76">+SUM(G33:G43)</f>
        <v>950990.55832349625</v>
      </c>
      <c r="H31" s="16">
        <f t="shared" si="76"/>
        <v>5416189.027730206</v>
      </c>
      <c r="I31" s="16">
        <f t="shared" si="76"/>
        <v>5973659.2981436737</v>
      </c>
      <c r="J31" s="16">
        <f t="shared" si="76"/>
        <v>5755062.4785223352</v>
      </c>
      <c r="K31" s="16">
        <f t="shared" si="76"/>
        <v>6284848.2612673733</v>
      </c>
      <c r="L31" s="16">
        <f t="shared" si="76"/>
        <v>5823192.6842984017</v>
      </c>
      <c r="M31" s="16">
        <f t="shared" si="76"/>
        <v>3788846.5144320717</v>
      </c>
      <c r="N31" s="16">
        <f t="shared" si="76"/>
        <v>5663979.0727987783</v>
      </c>
      <c r="O31" s="16">
        <f t="shared" si="76"/>
        <v>5507960.2652146295</v>
      </c>
      <c r="P31" s="16">
        <f t="shared" si="76"/>
        <v>7017391.7601249199</v>
      </c>
      <c r="Q31" s="25">
        <f>+SUM(E31:P31)</f>
        <v>52909392.941893674</v>
      </c>
      <c r="R31" s="16">
        <f t="shared" si="76"/>
        <v>7757675.1546822283</v>
      </c>
      <c r="S31" s="16">
        <f t="shared" si="76"/>
        <v>6489577.7780058477</v>
      </c>
      <c r="T31" s="16">
        <f t="shared" si="76"/>
        <v>5720687.6149711404</v>
      </c>
      <c r="U31" s="16">
        <f t="shared" si="76"/>
        <v>7173288.6691968199</v>
      </c>
      <c r="V31" s="16">
        <f t="shared" si="76"/>
        <v>8505686.1966810916</v>
      </c>
      <c r="W31" s="16">
        <f t="shared" si="76"/>
        <v>8347080.4401433244</v>
      </c>
      <c r="X31" s="16">
        <f t="shared" si="76"/>
        <v>9507665.0186156705</v>
      </c>
      <c r="Y31" s="16">
        <f t="shared" si="76"/>
        <v>8602880.7369328067</v>
      </c>
      <c r="Z31" s="16">
        <f t="shared" si="76"/>
        <v>9726792.7779994365</v>
      </c>
      <c r="AA31" s="16">
        <f t="shared" si="76"/>
        <v>10376650.143794958</v>
      </c>
      <c r="AB31" s="16">
        <f t="shared" si="76"/>
        <v>10808457.9136679</v>
      </c>
      <c r="AC31" s="16">
        <f t="shared" si="76"/>
        <v>11274383.34</v>
      </c>
      <c r="AD31" s="16">
        <f>+SUM(AD43+AD32)</f>
        <v>104290825.78469123</v>
      </c>
      <c r="AE31" s="16">
        <f t="shared" si="76"/>
        <v>12256189.429237701</v>
      </c>
      <c r="AF31" s="16">
        <f t="shared" ref="AF31:AH31" si="77">+SUM(AF33:AF43)</f>
        <v>9704016.3467420116</v>
      </c>
      <c r="AG31" s="16">
        <f t="shared" si="77"/>
        <v>11461597.003454421</v>
      </c>
      <c r="AH31" s="16">
        <f t="shared" si="77"/>
        <v>10642806.862358514</v>
      </c>
      <c r="AI31" s="16">
        <f t="shared" ref="AI31:AK31" si="78">+SUM(AI33:AI43)</f>
        <v>10637880.12065801</v>
      </c>
      <c r="AJ31" s="16">
        <f t="shared" si="78"/>
        <v>9360100.7952498309</v>
      </c>
      <c r="AK31" s="16">
        <f t="shared" si="78"/>
        <v>12516884.98190403</v>
      </c>
      <c r="AL31" s="16">
        <f t="shared" ref="AL31:AP31" si="79">+SUM(AL33:AL43)</f>
        <v>11380104.308433596</v>
      </c>
      <c r="AM31" s="16">
        <f t="shared" si="79"/>
        <v>12842166.393376991</v>
      </c>
      <c r="AN31" s="16">
        <f t="shared" si="79"/>
        <v>11144476.577999199</v>
      </c>
      <c r="AO31" s="16">
        <f t="shared" si="79"/>
        <v>11216538.998868067</v>
      </c>
      <c r="AP31" s="16">
        <f t="shared" si="79"/>
        <v>11927577.599475872</v>
      </c>
      <c r="AQ31" s="16">
        <f t="shared" si="65"/>
        <v>135090339.41775823</v>
      </c>
      <c r="AR31" s="16">
        <f t="shared" ref="AR31" si="80">+SUM(AR33:AR43)</f>
        <v>10351249.464764919</v>
      </c>
      <c r="AS31" s="16">
        <f t="shared" ref="AS31:AU31" si="81">+SUM(AS33:AS43)</f>
        <v>10943335.210165957</v>
      </c>
      <c r="AT31" s="16">
        <f t="shared" si="81"/>
        <v>8591807.2100000009</v>
      </c>
      <c r="AU31" s="16">
        <f t="shared" si="81"/>
        <v>10583795.667698476</v>
      </c>
      <c r="AV31" s="16">
        <f t="shared" ref="AV31:BC31" si="82">+SUM(AV33:AV43)</f>
        <v>9605401.381641537</v>
      </c>
      <c r="AW31" s="16">
        <f t="shared" si="82"/>
        <v>9885141.2295044474</v>
      </c>
      <c r="AX31" s="16">
        <f t="shared" si="82"/>
        <v>10700861.506445415</v>
      </c>
      <c r="AY31" s="16">
        <f t="shared" si="82"/>
        <v>9686268.3284200523</v>
      </c>
      <c r="AZ31" s="16">
        <f t="shared" si="82"/>
        <v>10263726.614758017</v>
      </c>
      <c r="BA31" s="16">
        <f t="shared" si="82"/>
        <v>9406805.4405846074</v>
      </c>
      <c r="BB31" s="16">
        <f t="shared" si="82"/>
        <v>10335885.519631604</v>
      </c>
      <c r="BC31" s="16">
        <f t="shared" si="82"/>
        <v>10976427.601455849</v>
      </c>
      <c r="BD31" s="16">
        <f t="shared" si="67"/>
        <v>121330705.17507091</v>
      </c>
      <c r="BE31" s="16">
        <f t="shared" ref="BE31:BF31" si="83">+SUM(BE43+BE32)</f>
        <v>10982475.903043067</v>
      </c>
      <c r="BF31" s="16">
        <f t="shared" si="83"/>
        <v>7605282.5450912397</v>
      </c>
      <c r="BG31" s="16">
        <f t="shared" ref="BG31:BH31" si="84">+SUM(BG43+BG32)</f>
        <v>10695210.695019282</v>
      </c>
      <c r="BH31" s="16">
        <f t="shared" si="84"/>
        <v>10913603.078012913</v>
      </c>
      <c r="BI31" s="16">
        <f t="shared" ref="BI31:BJ31" si="85">+SUM(BI43+BI32)</f>
        <v>10435604.743917707</v>
      </c>
      <c r="BJ31" s="16">
        <f t="shared" si="85"/>
        <v>10924833.356965348</v>
      </c>
      <c r="BK31" s="16">
        <f t="shared" ref="BK31:BL31" si="86">+SUM(BK43+BK32)</f>
        <v>12002117.854718469</v>
      </c>
      <c r="BL31" s="16">
        <f t="shared" si="86"/>
        <v>12512224.277311418</v>
      </c>
      <c r="BM31" s="16">
        <f t="shared" ref="BM31" si="87">+SUM(BM43+BM32)</f>
        <v>12922358.2595105</v>
      </c>
      <c r="BN31" s="16">
        <f>+SUM(BN43+BN32)</f>
        <v>11141256.460867673</v>
      </c>
      <c r="BO31" s="16">
        <f>+SUM(BO43+BO32)</f>
        <v>12731856.790000001</v>
      </c>
      <c r="BP31" s="16">
        <f>+SUM(BP43+BP32)</f>
        <v>12709810.060000001</v>
      </c>
      <c r="BQ31" s="16">
        <f t="shared" si="62"/>
        <v>135576634.02445763</v>
      </c>
      <c r="BR31" s="16">
        <f>+SUM(BR43+BR32)</f>
        <v>12608613.217346122</v>
      </c>
      <c r="BS31" s="16">
        <f>+SUM(BS43+BS32)</f>
        <v>11385965.749162197</v>
      </c>
      <c r="BT31" s="16">
        <f>+SUM(BT43+BT32)</f>
        <v>10847639.675508352</v>
      </c>
    </row>
    <row r="32" spans="1:73">
      <c r="A32" s="40"/>
      <c r="B32" s="86"/>
      <c r="C32" s="44"/>
      <c r="D32" s="44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3"/>
      <c r="R32" s="42">
        <f>+SUM(R33:R42)</f>
        <v>4428978.4616049342</v>
      </c>
      <c r="S32" s="42">
        <f t="shared" ref="S32:AE32" si="88">+SUM(S33:S42)</f>
        <v>3733190.6895625847</v>
      </c>
      <c r="T32" s="42">
        <f t="shared" si="88"/>
        <v>3387067.4175919206</v>
      </c>
      <c r="U32" s="42">
        <f t="shared" si="88"/>
        <v>3812126.1009924868</v>
      </c>
      <c r="V32" s="42">
        <f t="shared" si="88"/>
        <v>4501970.3020992726</v>
      </c>
      <c r="W32" s="42">
        <f t="shared" si="88"/>
        <v>4328094.6613387037</v>
      </c>
      <c r="X32" s="42">
        <f t="shared" si="88"/>
        <v>4656056.7552388562</v>
      </c>
      <c r="Y32" s="42">
        <f t="shared" si="88"/>
        <v>3806840.9876340651</v>
      </c>
      <c r="Z32" s="42">
        <f t="shared" si="88"/>
        <v>4585728.9946294986</v>
      </c>
      <c r="AA32" s="42">
        <f t="shared" si="88"/>
        <v>4874273.4072803231</v>
      </c>
      <c r="AB32" s="42">
        <f t="shared" si="88"/>
        <v>5207738.8244046513</v>
      </c>
      <c r="AC32" s="42">
        <f t="shared" si="88"/>
        <v>5227978.68</v>
      </c>
      <c r="AD32" s="42">
        <f>+SUM(AD33:AD42)</f>
        <v>52550045.282377303</v>
      </c>
      <c r="AE32" s="42">
        <f t="shared" si="88"/>
        <v>5641469.2540068151</v>
      </c>
      <c r="AF32" s="42">
        <f t="shared" ref="AF32:AH32" si="89">+SUM(AF33:AF42)</f>
        <v>4583196.0077614468</v>
      </c>
      <c r="AG32" s="42">
        <f t="shared" si="89"/>
        <v>5536279.050496513</v>
      </c>
      <c r="AH32" s="42">
        <f t="shared" si="89"/>
        <v>4902153.8068997143</v>
      </c>
      <c r="AI32" s="42">
        <f t="shared" ref="AI32:AK32" si="90">+SUM(AI33:AI42)</f>
        <v>5078276.8360734908</v>
      </c>
      <c r="AJ32" s="42">
        <f t="shared" si="90"/>
        <v>4547337.3604610311</v>
      </c>
      <c r="AK32" s="42">
        <f t="shared" si="90"/>
        <v>6001635.5597910788</v>
      </c>
      <c r="AL32" s="42">
        <f t="shared" ref="AL32:AP32" si="91">+SUM(AL33:AL42)</f>
        <v>5696827.2542279977</v>
      </c>
      <c r="AM32" s="42">
        <f t="shared" si="91"/>
        <v>6148037.4533769917</v>
      </c>
      <c r="AN32" s="42">
        <f t="shared" si="91"/>
        <v>5566305.8279991997</v>
      </c>
      <c r="AO32" s="42">
        <f t="shared" si="91"/>
        <v>5603191.7788680689</v>
      </c>
      <c r="AP32" s="42">
        <f t="shared" si="91"/>
        <v>5815425.9794758707</v>
      </c>
      <c r="AQ32" s="16">
        <f t="shared" si="65"/>
        <v>65120136.169438221</v>
      </c>
      <c r="AR32" s="42">
        <f t="shared" ref="AR32:BC32" si="92">+SUM(AR33:AR42)</f>
        <v>5231112.2547649182</v>
      </c>
      <c r="AS32" s="42">
        <f t="shared" si="92"/>
        <v>5578318.4031083994</v>
      </c>
      <c r="AT32" s="42">
        <f t="shared" si="92"/>
        <v>4520146.55</v>
      </c>
      <c r="AU32" s="42">
        <f t="shared" si="92"/>
        <v>5537290.2426267918</v>
      </c>
      <c r="AV32" s="42">
        <f t="shared" si="92"/>
        <v>5018161.8516415358</v>
      </c>
      <c r="AW32" s="42">
        <f t="shared" si="92"/>
        <v>5263802.9295044458</v>
      </c>
      <c r="AX32" s="42">
        <f t="shared" si="92"/>
        <v>5437633.4504401442</v>
      </c>
      <c r="AY32" s="42">
        <f t="shared" si="92"/>
        <v>4906510.5789800528</v>
      </c>
      <c r="AZ32" s="42">
        <f t="shared" si="92"/>
        <v>5241561.5918796044</v>
      </c>
      <c r="BA32" s="42">
        <f t="shared" si="92"/>
        <v>5035425.7604646077</v>
      </c>
      <c r="BB32" s="42">
        <f t="shared" si="92"/>
        <v>5384796.2836316032</v>
      </c>
      <c r="BC32" s="42">
        <f t="shared" si="92"/>
        <v>5614942.9273558501</v>
      </c>
      <c r="BD32" s="16">
        <f t="shared" si="67"/>
        <v>62769702.824397951</v>
      </c>
      <c r="BE32" s="42">
        <f t="shared" ref="BE32:BF32" si="93">+SUM(BE33:BE42)</f>
        <v>5723991.2945430679</v>
      </c>
      <c r="BF32" s="42">
        <f t="shared" si="93"/>
        <v>4154023.6894859034</v>
      </c>
      <c r="BG32" s="42">
        <f t="shared" ref="BG32:BH32" si="94">+SUM(BG33:BG42)</f>
        <v>5489010.1130082328</v>
      </c>
      <c r="BH32" s="42">
        <f t="shared" si="94"/>
        <v>5475476.8690744117</v>
      </c>
      <c r="BI32" s="42">
        <f t="shared" ref="BI32:BJ32" si="95">+SUM(BI33:BI42)</f>
        <v>4900151.0913496222</v>
      </c>
      <c r="BJ32" s="42">
        <f t="shared" si="95"/>
        <v>5357958.2811353486</v>
      </c>
      <c r="BK32" s="42">
        <f t="shared" ref="BK32:BL32" si="96">+SUM(BK33:BK42)</f>
        <v>5710983.8373184679</v>
      </c>
      <c r="BL32" s="42">
        <f t="shared" si="96"/>
        <v>5585659.7327114176</v>
      </c>
      <c r="BM32" s="42">
        <f t="shared" ref="BM32" si="97">+SUM(BM33:BM42)</f>
        <v>5616994.5589105003</v>
      </c>
      <c r="BN32" s="42">
        <f>+SUM(BN33:BN42)</f>
        <v>4868344.0451850714</v>
      </c>
      <c r="BO32" s="42">
        <f>+SUM(BO33:BO42)</f>
        <v>5564918.2400000012</v>
      </c>
      <c r="BP32" s="42">
        <f>+SUM(BP33:BP42)</f>
        <v>5587174.1400000006</v>
      </c>
      <c r="BQ32" s="16">
        <f t="shared" si="62"/>
        <v>64034685.892722048</v>
      </c>
      <c r="BR32" s="42">
        <f>+SUM(BR33:BR42)</f>
        <v>5777090.1252461225</v>
      </c>
      <c r="BS32" s="42">
        <f>+SUM(BS33:BS42)</f>
        <v>5152522.6265621958</v>
      </c>
      <c r="BT32" s="42">
        <f>+SUM(BT33:BT42)</f>
        <v>4967566.1999583514</v>
      </c>
    </row>
    <row r="33" spans="1:72">
      <c r="A33" s="9">
        <v>2120101</v>
      </c>
      <c r="B33" s="85" t="s">
        <v>30</v>
      </c>
      <c r="C33" s="81" t="s">
        <v>43</v>
      </c>
      <c r="D33" s="81" t="s">
        <v>31</v>
      </c>
      <c r="E33" s="11">
        <v>90119.477959077456</v>
      </c>
      <c r="F33" s="11">
        <v>80175.695116634815</v>
      </c>
      <c r="G33" s="11">
        <v>39932.152805242222</v>
      </c>
      <c r="H33" s="11">
        <v>22636.320019958828</v>
      </c>
      <c r="I33" s="11">
        <v>24966.200934026667</v>
      </c>
      <c r="J33" s="11">
        <v>24052.597519774208</v>
      </c>
      <c r="K33" s="11">
        <v>26266.774038555763</v>
      </c>
      <c r="L33" s="11">
        <v>24337.339592442699</v>
      </c>
      <c r="M33" s="11">
        <v>22934.717569757056</v>
      </c>
      <c r="N33" s="11">
        <v>117751.44605049647</v>
      </c>
      <c r="O33" s="11">
        <v>23276.303701407785</v>
      </c>
      <c r="P33" s="11">
        <v>113488.14519040585</v>
      </c>
      <c r="Q33" s="21">
        <f>+SUM(E33:P33)</f>
        <v>609937.17049777985</v>
      </c>
      <c r="R33" s="11">
        <v>180541.9276952006</v>
      </c>
      <c r="S33" s="11">
        <v>137071.30307709216</v>
      </c>
      <c r="T33" s="11">
        <v>168358.11278685546</v>
      </c>
      <c r="U33" s="11">
        <v>136444.56543815148</v>
      </c>
      <c r="V33" s="11">
        <v>150800.38246291695</v>
      </c>
      <c r="W33" s="11">
        <v>234009.45327972103</v>
      </c>
      <c r="X33" s="11">
        <v>145330.21133989046</v>
      </c>
      <c r="Y33" s="11">
        <v>141697.60159839422</v>
      </c>
      <c r="Z33" s="11">
        <v>145499.6934613843</v>
      </c>
      <c r="AA33" s="11">
        <v>187791.78287952128</v>
      </c>
      <c r="AB33" s="11">
        <v>167074.74448889875</v>
      </c>
      <c r="AC33" s="11">
        <v>182253.62</v>
      </c>
      <c r="AD33" s="21">
        <f>+SUM(R33:AC33)</f>
        <v>1976873.3985080272</v>
      </c>
      <c r="AE33" s="11">
        <v>170252.04964881431</v>
      </c>
      <c r="AF33" s="11">
        <v>151639.72643284465</v>
      </c>
      <c r="AG33" s="11">
        <v>180876.99337154248</v>
      </c>
      <c r="AH33" s="11">
        <v>159191.16774975805</v>
      </c>
      <c r="AI33" s="11">
        <v>158016.55679528578</v>
      </c>
      <c r="AJ33" s="11">
        <v>130630.29944866299</v>
      </c>
      <c r="AK33" s="11">
        <v>170332.8934046565</v>
      </c>
      <c r="AL33" s="11">
        <v>158740.39567066389</v>
      </c>
      <c r="AM33" s="11">
        <v>180130.23337699007</v>
      </c>
      <c r="AN33" s="11">
        <v>182145.57799919948</v>
      </c>
      <c r="AO33" s="11">
        <v>151010.54886806916</v>
      </c>
      <c r="AP33" s="11">
        <v>174556.66947587172</v>
      </c>
      <c r="AQ33" s="21">
        <f t="shared" si="65"/>
        <v>1967523.1122423592</v>
      </c>
      <c r="AR33" s="11">
        <v>163190.01476491868</v>
      </c>
      <c r="AS33" s="11">
        <v>163096.34093017463</v>
      </c>
      <c r="AT33" s="11">
        <v>147649.57999999999</v>
      </c>
      <c r="AU33" s="11">
        <v>138291.06771337119</v>
      </c>
      <c r="AV33" s="11">
        <v>147077.13164153666</v>
      </c>
      <c r="AW33" s="11">
        <v>123569.70950444516</v>
      </c>
      <c r="AX33" s="11">
        <v>137574.44557510799</v>
      </c>
      <c r="AY33" s="11">
        <v>164317.38019214224</v>
      </c>
      <c r="AZ33" s="11">
        <v>156951.84751960862</v>
      </c>
      <c r="BA33" s="11">
        <v>163730.61219682812</v>
      </c>
      <c r="BB33" s="11">
        <v>182906.74218160281</v>
      </c>
      <c r="BC33" s="11">
        <v>199948.19819155024</v>
      </c>
      <c r="BD33" s="21">
        <f t="shared" si="67"/>
        <v>1888303.0704112865</v>
      </c>
      <c r="BE33" s="11">
        <v>186766.95364206861</v>
      </c>
      <c r="BF33" s="11">
        <v>154452.18216471723</v>
      </c>
      <c r="BG33" s="11">
        <v>188436.00251137832</v>
      </c>
      <c r="BH33" s="11">
        <v>166547.39933611249</v>
      </c>
      <c r="BI33" s="11">
        <v>155105.89245089324</v>
      </c>
      <c r="BJ33" s="11">
        <v>157658.15111134766</v>
      </c>
      <c r="BK33" s="11">
        <v>177130.16123846802</v>
      </c>
      <c r="BL33" s="11">
        <v>172812.16541141801</v>
      </c>
      <c r="BM33" s="11">
        <v>177858.77300050046</v>
      </c>
      <c r="BN33" s="11">
        <v>159030.48498708097</v>
      </c>
      <c r="BO33" s="11">
        <v>179361.3</v>
      </c>
      <c r="BP33" s="11">
        <v>175869.99</v>
      </c>
      <c r="BQ33" s="21">
        <f t="shared" si="62"/>
        <v>2051029.4558539852</v>
      </c>
      <c r="BR33" s="11">
        <v>186301.7313861227</v>
      </c>
      <c r="BS33" s="11">
        <v>172707.11027219624</v>
      </c>
      <c r="BT33" s="11">
        <v>171363.83185885171</v>
      </c>
    </row>
    <row r="34" spans="1:72">
      <c r="A34" s="9">
        <v>2120102</v>
      </c>
      <c r="B34" s="85" t="s">
        <v>30</v>
      </c>
      <c r="C34" s="81" t="s">
        <v>43</v>
      </c>
      <c r="D34" s="81" t="s">
        <v>44</v>
      </c>
      <c r="E34" s="11">
        <v>179425.36659268671</v>
      </c>
      <c r="F34" s="11">
        <v>67708.457955995749</v>
      </c>
      <c r="G34" s="11">
        <v>34834.040975001124</v>
      </c>
      <c r="H34" s="11">
        <v>367284.80816417158</v>
      </c>
      <c r="I34" s="11">
        <v>405088.20835529186</v>
      </c>
      <c r="J34" s="11">
        <v>390264.56853901496</v>
      </c>
      <c r="K34" s="11">
        <v>426190.61116543371</v>
      </c>
      <c r="L34" s="11">
        <v>394884.64094672544</v>
      </c>
      <c r="M34" s="11">
        <v>372126.44703204709</v>
      </c>
      <c r="N34" s="11">
        <v>428315.20707208756</v>
      </c>
      <c r="O34" s="11">
        <v>581397.01779732865</v>
      </c>
      <c r="P34" s="11">
        <v>469515.65605639684</v>
      </c>
      <c r="Q34" s="21">
        <f t="shared" ref="Q34:Q43" si="98">+SUM(E34:P34)</f>
        <v>4117035.0306521808</v>
      </c>
      <c r="R34" s="11">
        <v>522372.86237573589</v>
      </c>
      <c r="S34" s="11">
        <v>436645.68303080439</v>
      </c>
      <c r="T34" s="11">
        <v>355597.21834829915</v>
      </c>
      <c r="U34" s="11">
        <v>429789.0329940095</v>
      </c>
      <c r="V34" s="11">
        <v>533944.76315936481</v>
      </c>
      <c r="W34" s="11">
        <v>485646.86362796335</v>
      </c>
      <c r="X34" s="11">
        <v>557503.95329222328</v>
      </c>
      <c r="Y34" s="11">
        <v>442530.12336367858</v>
      </c>
      <c r="Z34" s="11">
        <v>562495.27302944835</v>
      </c>
      <c r="AA34" s="11">
        <v>592620.82432481449</v>
      </c>
      <c r="AB34" s="11">
        <v>635654.28222211427</v>
      </c>
      <c r="AC34" s="11">
        <v>628321.29</v>
      </c>
      <c r="AD34" s="21">
        <f t="shared" ref="AD34:AD43" si="99">+SUM(R34:AC34)</f>
        <v>6183122.1697684564</v>
      </c>
      <c r="AE34" s="11">
        <v>662690.2335816659</v>
      </c>
      <c r="AF34" s="11">
        <v>527851.49261537823</v>
      </c>
      <c r="AG34" s="11">
        <v>660918.24402385775</v>
      </c>
      <c r="AH34" s="11">
        <v>571982.3402521729</v>
      </c>
      <c r="AI34" s="11">
        <v>599215.10410854488</v>
      </c>
      <c r="AJ34" s="11">
        <v>539220.53011053009</v>
      </c>
      <c r="AK34" s="11">
        <v>731356.39169571176</v>
      </c>
      <c r="AL34" s="11">
        <v>693684.53158383188</v>
      </c>
      <c r="AM34" s="11">
        <v>757843.45000000019</v>
      </c>
      <c r="AN34" s="11">
        <v>669882.94600000011</v>
      </c>
      <c r="AO34" s="11">
        <v>699123.32799999986</v>
      </c>
      <c r="AP34" s="11">
        <v>699784.21</v>
      </c>
      <c r="AQ34" s="21">
        <f t="shared" si="65"/>
        <v>7813552.8019716935</v>
      </c>
      <c r="AR34" s="11">
        <v>614176.34</v>
      </c>
      <c r="AS34" s="11">
        <v>664705.49069252925</v>
      </c>
      <c r="AT34" s="11">
        <v>513601.05800000002</v>
      </c>
      <c r="AU34" s="11">
        <v>668785.58944933908</v>
      </c>
      <c r="AV34" s="11">
        <v>589869.35600000003</v>
      </c>
      <c r="AW34" s="11">
        <v>631534.77600000007</v>
      </c>
      <c r="AX34" s="11">
        <v>639107.91866085841</v>
      </c>
      <c r="AY34" s="11">
        <v>570497.15793040011</v>
      </c>
      <c r="AZ34" s="11">
        <v>610767.15379177022</v>
      </c>
      <c r="BA34" s="11">
        <v>571654.10051960009</v>
      </c>
      <c r="BB34" s="11">
        <v>629818.30687000009</v>
      </c>
      <c r="BC34" s="11">
        <v>661274.83719600004</v>
      </c>
      <c r="BD34" s="21">
        <f t="shared" si="67"/>
        <v>7365792.0851104986</v>
      </c>
      <c r="BE34" s="11">
        <v>671049.06410000008</v>
      </c>
      <c r="BF34" s="11">
        <v>468031.11662676244</v>
      </c>
      <c r="BG34" s="11">
        <v>644169.75317172543</v>
      </c>
      <c r="BH34" s="11">
        <v>646483.86453862942</v>
      </c>
      <c r="BI34" s="11">
        <v>556065.26348729245</v>
      </c>
      <c r="BJ34" s="11">
        <v>632999.64048000006</v>
      </c>
      <c r="BK34" s="11">
        <v>667168.28295999998</v>
      </c>
      <c r="BL34" s="11">
        <v>643304.26731999998</v>
      </c>
      <c r="BM34" s="11">
        <v>650452.02159999998</v>
      </c>
      <c r="BN34" s="11">
        <v>554709.74437164329</v>
      </c>
      <c r="BO34" s="11">
        <v>631422.21</v>
      </c>
      <c r="BP34" s="11">
        <v>627343.34</v>
      </c>
      <c r="BQ34" s="21">
        <f t="shared" si="62"/>
        <v>7393198.5686560515</v>
      </c>
      <c r="BR34" s="11">
        <v>632198.99030800001</v>
      </c>
      <c r="BS34" s="11">
        <v>556002.66979999992</v>
      </c>
      <c r="BT34" s="11">
        <v>551152.75393600005</v>
      </c>
    </row>
    <row r="35" spans="1:72">
      <c r="A35" s="9">
        <v>2120103</v>
      </c>
      <c r="B35" s="85" t="s">
        <v>30</v>
      </c>
      <c r="C35" s="81" t="s">
        <v>43</v>
      </c>
      <c r="D35" s="81" t="s">
        <v>45</v>
      </c>
      <c r="E35" s="11">
        <v>31692.598107090445</v>
      </c>
      <c r="F35" s="11">
        <v>101562.68693399364</v>
      </c>
      <c r="G35" s="11">
        <v>63576.181765414134</v>
      </c>
      <c r="H35" s="11">
        <v>739090.14240500645</v>
      </c>
      <c r="I35" s="11">
        <v>815162.22545767564</v>
      </c>
      <c r="J35" s="11">
        <v>785332.49708547629</v>
      </c>
      <c r="K35" s="11">
        <v>857626.75857025699</v>
      </c>
      <c r="L35" s="11">
        <v>794629.50555910158</v>
      </c>
      <c r="M35" s="11">
        <v>748833.01082969841</v>
      </c>
      <c r="N35" s="11">
        <v>1066570.151906701</v>
      </c>
      <c r="O35" s="11">
        <v>1169949.84580359</v>
      </c>
      <c r="P35" s="11">
        <v>1878062.6242255874</v>
      </c>
      <c r="Q35" s="21">
        <f t="shared" si="98"/>
        <v>9052088.228649592</v>
      </c>
      <c r="R35" s="11">
        <v>2089491.4495029435</v>
      </c>
      <c r="S35" s="11">
        <v>1746582.7321232175</v>
      </c>
      <c r="T35" s="11">
        <v>1422388.8733931966</v>
      </c>
      <c r="U35" s="11">
        <v>1719156.131976038</v>
      </c>
      <c r="V35" s="11">
        <v>2135779.0526374592</v>
      </c>
      <c r="W35" s="11">
        <v>1942587.4545118534</v>
      </c>
      <c r="X35" s="11">
        <v>2230015.8131688931</v>
      </c>
      <c r="Y35" s="11">
        <v>1770120.4934547143</v>
      </c>
      <c r="Z35" s="11">
        <v>2249981.0921177934</v>
      </c>
      <c r="AA35" s="11">
        <v>2370483.2972992579</v>
      </c>
      <c r="AB35" s="11">
        <v>2542617.1288884571</v>
      </c>
      <c r="AC35" s="11">
        <v>2513285.15</v>
      </c>
      <c r="AD35" s="21">
        <f t="shared" si="99"/>
        <v>24732488.669073824</v>
      </c>
      <c r="AE35" s="11">
        <v>2650760.9343266636</v>
      </c>
      <c r="AF35" s="11">
        <v>2111405.9704615129</v>
      </c>
      <c r="AG35" s="11">
        <v>2643672.976095431</v>
      </c>
      <c r="AH35" s="11">
        <v>2287929.3610086916</v>
      </c>
      <c r="AI35" s="11">
        <v>2396860.4164341795</v>
      </c>
      <c r="AJ35" s="11">
        <v>2156882.1204421204</v>
      </c>
      <c r="AK35" s="11">
        <v>2925425.566782847</v>
      </c>
      <c r="AL35" s="11">
        <v>2774738.1263353275</v>
      </c>
      <c r="AM35" s="11">
        <v>3031373.8000000007</v>
      </c>
      <c r="AN35" s="11">
        <v>2679531.7840000005</v>
      </c>
      <c r="AO35" s="11">
        <v>2796493.3119999995</v>
      </c>
      <c r="AP35" s="11">
        <v>2799136.84</v>
      </c>
      <c r="AQ35" s="21">
        <f t="shared" ref="AQ35:AQ42" si="100">+SUM(AE35:AP35)</f>
        <v>31254211.207886774</v>
      </c>
      <c r="AR35" s="11">
        <v>2456705.36</v>
      </c>
      <c r="AS35" s="11">
        <v>2658821.962770117</v>
      </c>
      <c r="AT35" s="11">
        <v>2054404.2320000001</v>
      </c>
      <c r="AU35" s="11">
        <v>2675142.3577973563</v>
      </c>
      <c r="AV35" s="11">
        <v>2359477.4240000001</v>
      </c>
      <c r="AW35" s="11">
        <v>2526139.1040000003</v>
      </c>
      <c r="AX35" s="11">
        <v>2556431.6746434337</v>
      </c>
      <c r="AY35" s="11">
        <v>2281988.6317216004</v>
      </c>
      <c r="AZ35" s="11">
        <v>2443068.6151670809</v>
      </c>
      <c r="BA35" s="11">
        <v>2286616.4020784004</v>
      </c>
      <c r="BB35" s="11">
        <v>2519273.2274800004</v>
      </c>
      <c r="BC35" s="11">
        <v>2645099.3487840001</v>
      </c>
      <c r="BD35" s="21">
        <f t="shared" ref="BD35:BD42" si="101">+SUM(AR35:BC35)</f>
        <v>29463168.340441994</v>
      </c>
      <c r="BE35" s="11">
        <v>2684196.2564000003</v>
      </c>
      <c r="BF35" s="11">
        <v>1872124.4665070497</v>
      </c>
      <c r="BG35" s="11">
        <v>2576679.0126869017</v>
      </c>
      <c r="BH35" s="11">
        <v>2585935.4581545177</v>
      </c>
      <c r="BI35" s="11">
        <v>2224261.0539491698</v>
      </c>
      <c r="BJ35" s="11">
        <v>2531998.5619200002</v>
      </c>
      <c r="BK35" s="11">
        <v>2668673.1318399999</v>
      </c>
      <c r="BL35" s="11">
        <v>2573217.0692799999</v>
      </c>
      <c r="BM35" s="11">
        <v>2601808.0863999999</v>
      </c>
      <c r="BN35" s="11">
        <v>2218838.9774865732</v>
      </c>
      <c r="BO35" s="11">
        <v>2525688.8199999998</v>
      </c>
      <c r="BP35" s="11">
        <v>2509373.36</v>
      </c>
      <c r="BQ35" s="21">
        <f t="shared" si="62"/>
        <v>29572794.254624207</v>
      </c>
      <c r="BR35" s="11">
        <v>2528795.961232</v>
      </c>
      <c r="BS35" s="11">
        <v>2224010.6791999997</v>
      </c>
      <c r="BT35" s="11">
        <v>2204611.0157440002</v>
      </c>
    </row>
    <row r="36" spans="1:72">
      <c r="A36" s="9">
        <v>2120104</v>
      </c>
      <c r="B36" s="85" t="s">
        <v>30</v>
      </c>
      <c r="C36" s="81" t="s">
        <v>43</v>
      </c>
      <c r="D36" s="81" t="s">
        <v>46</v>
      </c>
      <c r="E36" s="11">
        <v>38808.951729048094</v>
      </c>
      <c r="F36" s="11">
        <v>0</v>
      </c>
      <c r="G36" s="11">
        <v>298337.32716934633</v>
      </c>
      <c r="H36" s="11">
        <v>47323.008203322206</v>
      </c>
      <c r="I36" s="11">
        <v>52193.807587320167</v>
      </c>
      <c r="J36" s="11">
        <v>50283.847760407858</v>
      </c>
      <c r="K36" s="11">
        <v>54912.758001538714</v>
      </c>
      <c r="L36" s="11">
        <v>50879.123469040751</v>
      </c>
      <c r="M36" s="11">
        <v>47946.831761413901</v>
      </c>
      <c r="N36" s="11">
        <v>254739.00567879103</v>
      </c>
      <c r="O36" s="11">
        <v>84341.469706501477</v>
      </c>
      <c r="P36" s="11">
        <v>130860.57319754809</v>
      </c>
      <c r="Q36" s="21">
        <f t="shared" si="98"/>
        <v>1110626.7042642788</v>
      </c>
      <c r="R36" s="11">
        <v>161755.85040339633</v>
      </c>
      <c r="S36" s="11">
        <v>157180.89257422619</v>
      </c>
      <c r="T36" s="11">
        <v>144308.14417389021</v>
      </c>
      <c r="U36" s="11">
        <v>150932.23649612773</v>
      </c>
      <c r="V36" s="11">
        <v>178773.46469785704</v>
      </c>
      <c r="W36" s="11">
        <v>174253.48415443045</v>
      </c>
      <c r="X36" s="11">
        <v>202167.63398300108</v>
      </c>
      <c r="Y36" s="11">
        <v>198078.03798005445</v>
      </c>
      <c r="Z36" s="11">
        <v>268712.38515972672</v>
      </c>
      <c r="AA36" s="11">
        <v>304576.00794648117</v>
      </c>
      <c r="AB36" s="11">
        <v>355877.6285881832</v>
      </c>
      <c r="AC36" s="11">
        <v>388973.94</v>
      </c>
      <c r="AD36" s="21">
        <f t="shared" si="99"/>
        <v>2685589.7061573747</v>
      </c>
      <c r="AE36" s="11">
        <v>482354.4158660582</v>
      </c>
      <c r="AF36" s="11">
        <v>414667.89148577745</v>
      </c>
      <c r="AG36" s="11">
        <v>475431.91284130467</v>
      </c>
      <c r="AH36" s="11">
        <v>462505.60128396744</v>
      </c>
      <c r="AI36" s="11">
        <v>462542.28926585929</v>
      </c>
      <c r="AJ36" s="11">
        <v>404760.81049393769</v>
      </c>
      <c r="AK36" s="11">
        <v>539686.72570132383</v>
      </c>
      <c r="AL36" s="11">
        <v>403806.68396136916</v>
      </c>
      <c r="AM36" s="11">
        <v>537289.85000000009</v>
      </c>
      <c r="AN36" s="11">
        <v>479702.74000000005</v>
      </c>
      <c r="AO36" s="11">
        <v>457246.86</v>
      </c>
      <c r="AP36" s="11">
        <v>527814.61</v>
      </c>
      <c r="AQ36" s="21">
        <f t="shared" si="100"/>
        <v>5647810.3908995986</v>
      </c>
      <c r="AR36" s="11">
        <v>476423.94000000006</v>
      </c>
      <c r="AS36" s="11">
        <v>486762.78782122204</v>
      </c>
      <c r="AT36" s="11">
        <v>409799.63000000006</v>
      </c>
      <c r="AU36" s="11">
        <v>470187.43717651011</v>
      </c>
      <c r="AV36" s="11">
        <v>487653.75</v>
      </c>
      <c r="AW36" s="11">
        <v>488164.58</v>
      </c>
      <c r="AX36" s="11">
        <v>504554.81080062722</v>
      </c>
      <c r="AY36" s="11">
        <v>460534.45296000002</v>
      </c>
      <c r="AZ36" s="11">
        <v>484415.04633687891</v>
      </c>
      <c r="BA36" s="11">
        <v>504863.00269999995</v>
      </c>
      <c r="BB36" s="11">
        <v>479936.1100000001</v>
      </c>
      <c r="BC36" s="11">
        <v>475069.49705000001</v>
      </c>
      <c r="BD36" s="21">
        <f t="shared" si="101"/>
        <v>5728365.0448452393</v>
      </c>
      <c r="BE36" s="11">
        <v>480032.81679999997</v>
      </c>
      <c r="BF36" s="11">
        <v>366157.52891200961</v>
      </c>
      <c r="BG36" s="11">
        <v>463859.18102777685</v>
      </c>
      <c r="BH36" s="11">
        <v>485924.95512079692</v>
      </c>
      <c r="BI36" s="11">
        <v>440112.87985926482</v>
      </c>
      <c r="BJ36" s="11">
        <v>443761.95050999988</v>
      </c>
      <c r="BK36" s="11">
        <v>494745.72739999997</v>
      </c>
      <c r="BL36" s="11">
        <v>499784.8403000001</v>
      </c>
      <c r="BM36" s="11">
        <v>473464.98478999996</v>
      </c>
      <c r="BN36" s="11">
        <v>417049.61441938725</v>
      </c>
      <c r="BO36" s="11">
        <v>517191.5</v>
      </c>
      <c r="BP36" s="11">
        <v>525871.43999999994</v>
      </c>
      <c r="BQ36" s="21">
        <f t="shared" si="62"/>
        <v>5607957.4191392362</v>
      </c>
      <c r="BR36" s="11">
        <v>569176.86580000003</v>
      </c>
      <c r="BS36" s="11">
        <v>505481.36470000003</v>
      </c>
      <c r="BT36" s="11">
        <v>461067.06677999988</v>
      </c>
    </row>
    <row r="37" spans="1:72">
      <c r="A37" s="9">
        <v>2120110</v>
      </c>
      <c r="B37" s="85" t="s">
        <v>30</v>
      </c>
      <c r="C37" s="81" t="s">
        <v>43</v>
      </c>
      <c r="D37" s="81" t="s">
        <v>47</v>
      </c>
      <c r="E37" s="11">
        <v>21845.550653451377</v>
      </c>
      <c r="F37" s="11">
        <v>0</v>
      </c>
      <c r="G37" s="11">
        <v>198891.55144623091</v>
      </c>
      <c r="H37" s="11">
        <v>141919.23664984011</v>
      </c>
      <c r="I37" s="11">
        <v>156526.51029317064</v>
      </c>
      <c r="J37" s="11">
        <v>150798.64025788772</v>
      </c>
      <c r="K37" s="11">
        <v>164680.50096123584</v>
      </c>
      <c r="L37" s="11">
        <v>152583.84110146898</v>
      </c>
      <c r="M37" s="11">
        <v>143790.05100695326</v>
      </c>
      <c r="N37" s="11">
        <v>255896.62523168378</v>
      </c>
      <c r="O37" s="11">
        <v>279276.3161939031</v>
      </c>
      <c r="P37" s="11">
        <v>82171.552464150096</v>
      </c>
      <c r="Q37" s="21">
        <f t="shared" si="98"/>
        <v>1748380.3762599758</v>
      </c>
      <c r="R37" s="11">
        <v>89817.362878555345</v>
      </c>
      <c r="S37" s="11">
        <v>78310.216173236142</v>
      </c>
      <c r="T37" s="11">
        <v>66666.469171775272</v>
      </c>
      <c r="U37" s="11">
        <v>77052.534794131163</v>
      </c>
      <c r="V37" s="11">
        <v>89471.938699730992</v>
      </c>
      <c r="W37" s="11">
        <v>82937.128328186984</v>
      </c>
      <c r="X37" s="11">
        <v>95371.69790031141</v>
      </c>
      <c r="Y37" s="11">
        <v>78476.232250582878</v>
      </c>
      <c r="Z37" s="11">
        <v>97700.263636553049</v>
      </c>
      <c r="AA37" s="11">
        <v>102378.72798985358</v>
      </c>
      <c r="AB37" s="11">
        <v>110626.2907690279</v>
      </c>
      <c r="AC37" s="11">
        <v>118698.2</v>
      </c>
      <c r="AD37" s="21">
        <f t="shared" si="99"/>
        <v>1087507.0625919448</v>
      </c>
      <c r="AE37" s="11">
        <v>116129.06260234422</v>
      </c>
      <c r="AF37" s="11">
        <v>97938.277494965165</v>
      </c>
      <c r="AG37" s="11">
        <v>118810.73252672159</v>
      </c>
      <c r="AH37" s="11">
        <v>174884.68898427836</v>
      </c>
      <c r="AI37" s="11">
        <v>106904.84321389765</v>
      </c>
      <c r="AJ37" s="11">
        <v>98000.991345537186</v>
      </c>
      <c r="AK37" s="11">
        <v>127044.58008697438</v>
      </c>
      <c r="AL37" s="11">
        <v>120254.14299738272</v>
      </c>
      <c r="AM37" s="11">
        <v>129994.39999999997</v>
      </c>
      <c r="AN37" s="11">
        <v>120265.73000000001</v>
      </c>
      <c r="AO37" s="11">
        <v>126946.14</v>
      </c>
      <c r="AP37" s="11">
        <v>128155.94999999998</v>
      </c>
      <c r="AQ37" s="21">
        <f t="shared" si="100"/>
        <v>1465329.539252101</v>
      </c>
      <c r="AR37" s="11">
        <v>118630.01</v>
      </c>
      <c r="AS37" s="11">
        <v>131650.57338248045</v>
      </c>
      <c r="AT37" s="11">
        <v>105843.47</v>
      </c>
      <c r="AU37" s="11">
        <v>132921.42401880375</v>
      </c>
      <c r="AV37" s="11">
        <v>119050.09</v>
      </c>
      <c r="AW37" s="11">
        <v>119640.1</v>
      </c>
      <c r="AX37" s="11">
        <v>125281.96097885695</v>
      </c>
      <c r="AY37" s="11">
        <v>105986.21161899999</v>
      </c>
      <c r="AZ37" s="11">
        <v>117189.25607147771</v>
      </c>
      <c r="BA37" s="11">
        <v>110581.74665799999</v>
      </c>
      <c r="BB37" s="11">
        <v>120860.55722000002</v>
      </c>
      <c r="BC37" s="11">
        <v>121949.586985</v>
      </c>
      <c r="BD37" s="21">
        <f t="shared" si="101"/>
        <v>1429584.9869336186</v>
      </c>
      <c r="BE37" s="11">
        <v>125478.11238999999</v>
      </c>
      <c r="BF37" s="11">
        <v>93980.719989841818</v>
      </c>
      <c r="BG37" s="11">
        <v>123145.51249673449</v>
      </c>
      <c r="BH37" s="11">
        <v>123681.59118176211</v>
      </c>
      <c r="BI37" s="11">
        <v>115037.6413338799</v>
      </c>
      <c r="BJ37" s="11">
        <v>126658.54357999998</v>
      </c>
      <c r="BK37" s="11">
        <v>129202.81521999999</v>
      </c>
      <c r="BL37" s="11">
        <v>129266.42686999998</v>
      </c>
      <c r="BM37" s="11">
        <v>126104.75827999999</v>
      </c>
      <c r="BN37" s="11">
        <v>112477.10808984273</v>
      </c>
      <c r="BO37" s="11">
        <v>123367.52</v>
      </c>
      <c r="BP37" s="11">
        <v>124433.75</v>
      </c>
      <c r="BQ37" s="21">
        <f t="shared" si="62"/>
        <v>1452834.4994320611</v>
      </c>
      <c r="BR37" s="11">
        <v>127281.91244999996</v>
      </c>
      <c r="BS37" s="11">
        <v>115214.29947</v>
      </c>
      <c r="BT37" s="11">
        <v>109160.54151200004</v>
      </c>
    </row>
    <row r="38" spans="1:72">
      <c r="A38" s="9">
        <v>2120113</v>
      </c>
      <c r="B38" s="85" t="s">
        <v>30</v>
      </c>
      <c r="C38" s="81" t="s">
        <v>43</v>
      </c>
      <c r="D38" s="81" t="s">
        <v>48</v>
      </c>
      <c r="E38" s="11">
        <v>48490.502586827679</v>
      </c>
      <c r="F38" s="11">
        <v>0</v>
      </c>
      <c r="G38" s="11">
        <v>6311.3860478887318</v>
      </c>
      <c r="H38" s="11">
        <v>56155.703910215423</v>
      </c>
      <c r="I38" s="11">
        <v>61935.623201031915</v>
      </c>
      <c r="J38" s="11">
        <v>59669.175175165197</v>
      </c>
      <c r="K38" s="11">
        <v>65162.05744949323</v>
      </c>
      <c r="L38" s="11">
        <v>60375.557286279298</v>
      </c>
      <c r="M38" s="11">
        <v>56895.962240157234</v>
      </c>
      <c r="N38" s="11">
        <v>101255.16073334929</v>
      </c>
      <c r="O38" s="11">
        <v>142026.52205114529</v>
      </c>
      <c r="P38" s="11">
        <v>184505.51065234074</v>
      </c>
      <c r="Q38" s="21">
        <f t="shared" si="98"/>
        <v>842783.16133389401</v>
      </c>
      <c r="R38" s="11">
        <v>213682.18876245647</v>
      </c>
      <c r="S38" s="11">
        <v>180058.15856585145</v>
      </c>
      <c r="T38" s="11">
        <v>158982.37415996275</v>
      </c>
      <c r="U38" s="11">
        <v>171269.72291040776</v>
      </c>
      <c r="V38" s="11">
        <v>208420.66712050603</v>
      </c>
      <c r="W38" s="11">
        <v>203628.14743771966</v>
      </c>
      <c r="X38" s="11">
        <v>213742.82847134265</v>
      </c>
      <c r="Y38" s="11">
        <v>187073.23736862431</v>
      </c>
      <c r="Z38" s="11">
        <v>214211.25746208802</v>
      </c>
      <c r="AA38" s="11">
        <v>239312.07196766825</v>
      </c>
      <c r="AB38" s="11">
        <v>261010.22537580601</v>
      </c>
      <c r="AC38" s="11">
        <v>251276.34</v>
      </c>
      <c r="AD38" s="21">
        <f t="shared" si="99"/>
        <v>2502667.219602433</v>
      </c>
      <c r="AE38" s="11">
        <v>301576.56850317662</v>
      </c>
      <c r="AF38" s="11">
        <v>242179.75832745328</v>
      </c>
      <c r="AG38" s="11">
        <v>289381.629470577</v>
      </c>
      <c r="AH38" s="11">
        <v>219452.47030565131</v>
      </c>
      <c r="AI38" s="11">
        <v>224877.08395307339</v>
      </c>
      <c r="AJ38" s="11">
        <v>191629.55485992663</v>
      </c>
      <c r="AK38" s="11">
        <v>248190.51247608167</v>
      </c>
      <c r="AL38" s="11">
        <v>232746.52990101965</v>
      </c>
      <c r="AM38" s="11">
        <v>254150.40000000002</v>
      </c>
      <c r="AN38" s="11">
        <v>247288.55</v>
      </c>
      <c r="AO38" s="11">
        <v>231204.65000000002</v>
      </c>
      <c r="AP38" s="11">
        <v>250640.80999999997</v>
      </c>
      <c r="AQ38" s="21">
        <f t="shared" si="100"/>
        <v>2933318.5177969593</v>
      </c>
      <c r="AR38" s="11">
        <v>248967.75</v>
      </c>
      <c r="AS38" s="11">
        <v>261112.04814486124</v>
      </c>
      <c r="AT38" s="11">
        <v>210465.78</v>
      </c>
      <c r="AU38" s="11">
        <v>243939.42104927864</v>
      </c>
      <c r="AV38" s="11">
        <v>216617.95</v>
      </c>
      <c r="AW38" s="11">
        <v>237698.34999999992</v>
      </c>
      <c r="AX38" s="11">
        <v>250489.43157533175</v>
      </c>
      <c r="AY38" s="11">
        <v>228953.96659299996</v>
      </c>
      <c r="AZ38" s="11">
        <v>247147.1030073794</v>
      </c>
      <c r="BA38" s="11">
        <v>233712.01627500003</v>
      </c>
      <c r="BB38" s="11">
        <v>254634.32557999995</v>
      </c>
      <c r="BC38" s="11">
        <v>249320.75417199999</v>
      </c>
      <c r="BD38" s="21">
        <f t="shared" si="101"/>
        <v>2883058.8963968507</v>
      </c>
      <c r="BE38" s="11">
        <v>264542.65478999994</v>
      </c>
      <c r="BF38" s="11">
        <v>200228.213098743</v>
      </c>
      <c r="BG38" s="11">
        <v>253899.8759621777</v>
      </c>
      <c r="BH38" s="11">
        <v>257980.09991360837</v>
      </c>
      <c r="BI38" s="11">
        <v>246804.89951833364</v>
      </c>
      <c r="BJ38" s="11">
        <v>244827.33035000003</v>
      </c>
      <c r="BK38" s="11">
        <v>264798.92685999995</v>
      </c>
      <c r="BL38" s="11">
        <v>260405.26910000009</v>
      </c>
      <c r="BM38" s="11">
        <v>257298.95920999997</v>
      </c>
      <c r="BN38" s="11">
        <v>224529.07168488862</v>
      </c>
      <c r="BO38" s="11">
        <v>252039.3</v>
      </c>
      <c r="BP38" s="11">
        <v>261881.34</v>
      </c>
      <c r="BQ38" s="21">
        <f t="shared" si="62"/>
        <v>2989235.9404877508</v>
      </c>
      <c r="BR38" s="11">
        <v>273260.22788000002</v>
      </c>
      <c r="BS38" s="11">
        <v>252642.00177000003</v>
      </c>
      <c r="BT38" s="11">
        <v>240799.72865400004</v>
      </c>
    </row>
    <row r="39" spans="1:72">
      <c r="A39" s="9">
        <v>2120120</v>
      </c>
      <c r="B39" s="85" t="s">
        <v>30</v>
      </c>
      <c r="C39" s="81" t="s">
        <v>43</v>
      </c>
      <c r="D39" s="81" t="s">
        <v>49</v>
      </c>
      <c r="E39" s="11">
        <v>0</v>
      </c>
      <c r="F39" s="11">
        <v>0</v>
      </c>
      <c r="G39" s="11">
        <v>11725.172884206086</v>
      </c>
      <c r="H39" s="11">
        <v>138733.24860738887</v>
      </c>
      <c r="I39" s="11">
        <v>153012.59912867434</v>
      </c>
      <c r="J39" s="11">
        <v>147413.31578728798</v>
      </c>
      <c r="K39" s="11">
        <v>160983.53838397856</v>
      </c>
      <c r="L39" s="11">
        <v>149158.44011499101</v>
      </c>
      <c r="M39" s="11">
        <v>140562.06448485889</v>
      </c>
      <c r="N39" s="11">
        <v>250151.92417961045</v>
      </c>
      <c r="O39" s="11">
        <v>147744.70157052335</v>
      </c>
      <c r="P39" s="11">
        <v>86805.228895233187</v>
      </c>
      <c r="Q39" s="21">
        <f t="shared" si="98"/>
        <v>1386290.2340367527</v>
      </c>
      <c r="R39" s="11">
        <v>105696.11846319838</v>
      </c>
      <c r="S39" s="11">
        <v>90804.752371031442</v>
      </c>
      <c r="T39" s="11">
        <v>83279.575491101132</v>
      </c>
      <c r="U39" s="11">
        <v>84121.297033120558</v>
      </c>
      <c r="V39" s="11">
        <v>101034.97741766262</v>
      </c>
      <c r="W39" s="11">
        <v>98939.921808930812</v>
      </c>
      <c r="X39" s="11">
        <v>101854.96057493667</v>
      </c>
      <c r="Y39" s="11">
        <v>93819.483165340556</v>
      </c>
      <c r="Z39" s="11">
        <v>106765.07572834968</v>
      </c>
      <c r="AA39" s="11">
        <v>119286.1470417002</v>
      </c>
      <c r="AB39" s="11">
        <v>134459.32223096967</v>
      </c>
      <c r="AC39" s="11">
        <v>129026.52</v>
      </c>
      <c r="AD39" s="21">
        <f t="shared" si="99"/>
        <v>1249088.1513263418</v>
      </c>
      <c r="AE39" s="11">
        <v>147101.54985530686</v>
      </c>
      <c r="AF39" s="11">
        <v>121075.08624878293</v>
      </c>
      <c r="AG39" s="11">
        <v>153032.63170799974</v>
      </c>
      <c r="AH39" s="11">
        <v>104596.82412065048</v>
      </c>
      <c r="AI39" s="11">
        <v>135829.52866009483</v>
      </c>
      <c r="AJ39" s="11">
        <v>115092.24846495129</v>
      </c>
      <c r="AK39" s="11">
        <v>145645.16222066991</v>
      </c>
      <c r="AL39" s="11">
        <v>211912.63319620682</v>
      </c>
      <c r="AM39" s="11">
        <v>149739.1799999997</v>
      </c>
      <c r="AN39" s="11">
        <v>142184.68000000011</v>
      </c>
      <c r="AO39" s="11">
        <v>135733.75</v>
      </c>
      <c r="AP39" s="11">
        <v>146188.99</v>
      </c>
      <c r="AQ39" s="21">
        <f t="shared" si="100"/>
        <v>1708132.2644746627</v>
      </c>
      <c r="AR39" s="11">
        <v>139445.30999999994</v>
      </c>
      <c r="AS39" s="11">
        <v>147037.1058161839</v>
      </c>
      <c r="AT39" s="11">
        <v>117418.74999999994</v>
      </c>
      <c r="AU39" s="11">
        <v>140348.61054236675</v>
      </c>
      <c r="AV39" s="11">
        <v>126804.95999999996</v>
      </c>
      <c r="AW39" s="11">
        <v>136037.23000000004</v>
      </c>
      <c r="AX39" s="11">
        <v>141695.50660632504</v>
      </c>
      <c r="AY39" s="11">
        <v>130054.64978000021</v>
      </c>
      <c r="AZ39" s="11">
        <v>136250.24276006757</v>
      </c>
      <c r="BA39" s="11">
        <v>130026.59708999994</v>
      </c>
      <c r="BB39" s="11">
        <v>148399.66959999991</v>
      </c>
      <c r="BC39" s="11">
        <v>144605.68183999974</v>
      </c>
      <c r="BD39" s="21">
        <f t="shared" si="101"/>
        <v>1638124.3140349432</v>
      </c>
      <c r="BE39" s="11">
        <v>152188.42030000006</v>
      </c>
      <c r="BF39" s="11">
        <v>115403.88120367785</v>
      </c>
      <c r="BG39" s="11">
        <v>141103.08091594541</v>
      </c>
      <c r="BH39" s="11">
        <v>146480.73134656926</v>
      </c>
      <c r="BI39" s="11">
        <v>140391.91507993569</v>
      </c>
      <c r="BJ39" s="11">
        <v>140842.52792999998</v>
      </c>
      <c r="BK39" s="11">
        <v>155056.77860000008</v>
      </c>
      <c r="BL39" s="11">
        <v>150956.92459999997</v>
      </c>
      <c r="BM39" s="11">
        <v>151301.82091000018</v>
      </c>
      <c r="BN39" s="11">
        <v>128003.63688897138</v>
      </c>
      <c r="BO39" s="11">
        <v>145728.07</v>
      </c>
      <c r="BP39" s="11">
        <v>152033.20000000001</v>
      </c>
      <c r="BQ39" s="21">
        <f t="shared" si="62"/>
        <v>1719490.9877750999</v>
      </c>
      <c r="BR39" s="11">
        <v>156158.82010000001</v>
      </c>
      <c r="BS39" s="11">
        <v>143658.7821999999</v>
      </c>
      <c r="BT39" s="11">
        <v>132990.07429000002</v>
      </c>
    </row>
    <row r="40" spans="1:72">
      <c r="A40" s="9">
        <v>2120123</v>
      </c>
      <c r="B40" s="85" t="s">
        <v>30</v>
      </c>
      <c r="C40" s="81" t="s">
        <v>43</v>
      </c>
      <c r="D40" s="81" t="s">
        <v>50</v>
      </c>
      <c r="E40" s="11">
        <v>4137.4148964870037</v>
      </c>
      <c r="F40" s="11">
        <v>0</v>
      </c>
      <c r="G40" s="11">
        <v>50142.030709903265</v>
      </c>
      <c r="H40" s="11">
        <v>283921.98984400713</v>
      </c>
      <c r="I40" s="11">
        <v>313145.13320999837</v>
      </c>
      <c r="J40" s="11">
        <v>301686.96000000002</v>
      </c>
      <c r="K40" s="11">
        <v>329458.93690625398</v>
      </c>
      <c r="L40" s="11">
        <v>305258.42334057402</v>
      </c>
      <c r="M40" s="11">
        <v>287665.61351181444</v>
      </c>
      <c r="N40" s="11">
        <v>511945.43139368843</v>
      </c>
      <c r="O40" s="11">
        <v>243897.62617694598</v>
      </c>
      <c r="P40" s="11">
        <v>303371.00763488666</v>
      </c>
      <c r="Q40" s="21">
        <f t="shared" si="98"/>
        <v>2934630.5676245587</v>
      </c>
      <c r="R40" s="11">
        <v>354928.79090492975</v>
      </c>
      <c r="S40" s="11">
        <v>322358.37286929146</v>
      </c>
      <c r="T40" s="11">
        <v>300462.78896507068</v>
      </c>
      <c r="U40" s="11">
        <v>322804.49350028322</v>
      </c>
      <c r="V40" s="11">
        <v>409143.21438062907</v>
      </c>
      <c r="W40" s="11">
        <v>381271.09981342667</v>
      </c>
      <c r="X40" s="11">
        <v>389401.24922346696</v>
      </c>
      <c r="Y40" s="11">
        <v>287870.93186105532</v>
      </c>
      <c r="Z40" s="11">
        <v>343627.095839635</v>
      </c>
      <c r="AA40" s="11">
        <v>408448.86414102348</v>
      </c>
      <c r="AB40" s="11">
        <v>461295.13284930715</v>
      </c>
      <c r="AC40" s="11">
        <v>460248.59</v>
      </c>
      <c r="AD40" s="21">
        <f t="shared" si="99"/>
        <v>4441860.6243481189</v>
      </c>
      <c r="AE40" s="11">
        <v>513069.57583772892</v>
      </c>
      <c r="AF40" s="11">
        <v>428198.91328669759</v>
      </c>
      <c r="AG40" s="11">
        <v>488854.02012119227</v>
      </c>
      <c r="AH40" s="11">
        <v>425961.0143695916</v>
      </c>
      <c r="AI40" s="11">
        <v>449833.13776979817</v>
      </c>
      <c r="AJ40" s="11">
        <v>407662.38602032524</v>
      </c>
      <c r="AK40" s="11">
        <v>545799.12006723951</v>
      </c>
      <c r="AL40" s="11">
        <v>541883.67615986895</v>
      </c>
      <c r="AM40" s="11">
        <v>535437.49</v>
      </c>
      <c r="AN40" s="11">
        <v>506130</v>
      </c>
      <c r="AO40" s="11">
        <v>490944.24000000005</v>
      </c>
      <c r="AP40" s="11">
        <v>538541.23</v>
      </c>
      <c r="AQ40" s="21">
        <f t="shared" si="100"/>
        <v>5872314.8036324419</v>
      </c>
      <c r="AR40" s="11">
        <v>488236.94</v>
      </c>
      <c r="AS40" s="11">
        <v>542945.32219629188</v>
      </c>
      <c r="AT40" s="11">
        <v>492406.02999999997</v>
      </c>
      <c r="AU40" s="11">
        <v>539633.22466272232</v>
      </c>
      <c r="AV40" s="11">
        <v>487054.33</v>
      </c>
      <c r="AW40" s="11">
        <v>506838.94999999995</v>
      </c>
      <c r="AX40" s="11">
        <v>534796.64517966018</v>
      </c>
      <c r="AY40" s="11">
        <v>466579.54096900008</v>
      </c>
      <c r="AZ40" s="11">
        <v>505399.8681416476</v>
      </c>
      <c r="BA40" s="11">
        <v>507668.26582999999</v>
      </c>
      <c r="BB40" s="11">
        <v>527346.14240000001</v>
      </c>
      <c r="BC40" s="11">
        <v>571210.71490000002</v>
      </c>
      <c r="BD40" s="21">
        <f t="shared" si="101"/>
        <v>6170115.9742793217</v>
      </c>
      <c r="BE40" s="11">
        <v>610751.8483999999</v>
      </c>
      <c r="BF40" s="11">
        <v>447695.80106412678</v>
      </c>
      <c r="BG40" s="11">
        <v>554524.23890217848</v>
      </c>
      <c r="BH40" s="11">
        <v>547575.20395357523</v>
      </c>
      <c r="BI40" s="11">
        <v>502731.83154457371</v>
      </c>
      <c r="BJ40" s="11">
        <v>532368.87488000002</v>
      </c>
      <c r="BK40" s="11">
        <v>581682.16409999994</v>
      </c>
      <c r="BL40" s="11">
        <v>556785.04350000003</v>
      </c>
      <c r="BM40" s="11">
        <v>562834.51439999987</v>
      </c>
      <c r="BN40" s="11">
        <v>495067.63968206022</v>
      </c>
      <c r="BO40" s="11">
        <v>583700.41</v>
      </c>
      <c r="BP40" s="11">
        <v>595621.15</v>
      </c>
      <c r="BQ40" s="21">
        <f t="shared" si="62"/>
        <v>6571338.7204265147</v>
      </c>
      <c r="BR40" s="11">
        <v>664804.01779999991</v>
      </c>
      <c r="BS40" s="11">
        <v>602869.2818</v>
      </c>
      <c r="BT40" s="11">
        <v>550784.20789000008</v>
      </c>
    </row>
    <row r="41" spans="1:72">
      <c r="A41" s="9">
        <v>2120130</v>
      </c>
      <c r="B41" s="85" t="s">
        <v>30</v>
      </c>
      <c r="C41" s="81" t="s">
        <v>43</v>
      </c>
      <c r="D41" s="81" t="s">
        <v>51</v>
      </c>
      <c r="E41" s="11">
        <v>16549.659585948015</v>
      </c>
      <c r="F41" s="11">
        <v>0</v>
      </c>
      <c r="G41" s="11">
        <v>20231.367567443649</v>
      </c>
      <c r="H41" s="11">
        <v>104984.0043862477</v>
      </c>
      <c r="I41" s="11">
        <v>115789.65777364744</v>
      </c>
      <c r="J41" s="11">
        <v>111552.49622244998</v>
      </c>
      <c r="K41" s="11">
        <v>121821.52922581499</v>
      </c>
      <c r="L41" s="11">
        <v>112873.08910060424</v>
      </c>
      <c r="M41" s="11">
        <v>106367.92940803751</v>
      </c>
      <c r="N41" s="11">
        <v>135335.58829922325</v>
      </c>
      <c r="O41" s="11">
        <v>90948.603306863835</v>
      </c>
      <c r="P41" s="11">
        <v>357500.73965008656</v>
      </c>
      <c r="Q41" s="21">
        <f t="shared" si="98"/>
        <v>1293954.6645263671</v>
      </c>
      <c r="R41" s="11">
        <v>379208.4867778183</v>
      </c>
      <c r="S41" s="11">
        <v>329944.93592735834</v>
      </c>
      <c r="T41" s="11">
        <v>355786.45396259695</v>
      </c>
      <c r="U41" s="11">
        <v>367498.23622548423</v>
      </c>
      <c r="V41" s="11">
        <v>377729.73895041016</v>
      </c>
      <c r="W41" s="11">
        <v>364819.74231918197</v>
      </c>
      <c r="X41" s="11">
        <v>374790.86017499148</v>
      </c>
      <c r="Y41" s="11">
        <v>326737.91793432599</v>
      </c>
      <c r="Z41" s="11">
        <v>339296.72068268136</v>
      </c>
      <c r="AA41" s="11">
        <v>355990.41909073002</v>
      </c>
      <c r="AB41" s="11">
        <v>359179.05071229854</v>
      </c>
      <c r="AC41" s="11">
        <v>358468.54</v>
      </c>
      <c r="AD41" s="21">
        <f t="shared" si="99"/>
        <v>4289451.1027578777</v>
      </c>
      <c r="AE41" s="11">
        <v>378308.90327648172</v>
      </c>
      <c r="AF41" s="11">
        <v>332973.25568854099</v>
      </c>
      <c r="AG41" s="11">
        <v>375095.66575195658</v>
      </c>
      <c r="AH41" s="11">
        <v>348880.81501513248</v>
      </c>
      <c r="AI41" s="11">
        <v>360072.83520782483</v>
      </c>
      <c r="AJ41" s="11">
        <v>330949.96858450648</v>
      </c>
      <c r="AK41" s="11">
        <v>377880.50830884348</v>
      </c>
      <c r="AL41" s="11">
        <v>367852.92195583117</v>
      </c>
      <c r="AM41" s="11">
        <v>358422.56999999995</v>
      </c>
      <c r="AN41" s="11">
        <v>356825.72999999986</v>
      </c>
      <c r="AO41" s="11">
        <v>344599.46</v>
      </c>
      <c r="AP41" s="11">
        <v>371796.02999999997</v>
      </c>
      <c r="AQ41" s="21">
        <f t="shared" si="100"/>
        <v>4303658.6637891177</v>
      </c>
      <c r="AR41" s="11">
        <v>347943.82999999996</v>
      </c>
      <c r="AS41" s="11">
        <v>358650.75518094678</v>
      </c>
      <c r="AT41" s="11">
        <v>339372.84000000008</v>
      </c>
      <c r="AU41" s="11">
        <v>359735.81279084377</v>
      </c>
      <c r="AV41" s="11">
        <v>336210.79999999993</v>
      </c>
      <c r="AW41" s="11">
        <v>356220.57</v>
      </c>
      <c r="AX41" s="11">
        <v>372060.98738343501</v>
      </c>
      <c r="AY41" s="11">
        <v>347977.10305000003</v>
      </c>
      <c r="AZ41" s="11">
        <v>362940.51374719053</v>
      </c>
      <c r="BA41" s="11">
        <v>368629.35502000002</v>
      </c>
      <c r="BB41" s="11">
        <v>373530.5514</v>
      </c>
      <c r="BC41" s="11">
        <v>384035.82819999993</v>
      </c>
      <c r="BD41" s="21">
        <f t="shared" si="101"/>
        <v>4307308.9467724161</v>
      </c>
      <c r="BE41" s="11">
        <v>400078.07649999991</v>
      </c>
      <c r="BF41" s="11">
        <v>322635.88436560583</v>
      </c>
      <c r="BG41" s="11">
        <v>380470.9746320722</v>
      </c>
      <c r="BH41" s="11">
        <v>366658.10974705603</v>
      </c>
      <c r="BI41" s="11">
        <v>347258.28373742884</v>
      </c>
      <c r="BJ41" s="11">
        <v>361749.82136000006</v>
      </c>
      <c r="BK41" s="11">
        <v>382851.23170000006</v>
      </c>
      <c r="BL41" s="11">
        <v>384178.6606</v>
      </c>
      <c r="BM41" s="11">
        <v>375064.4313</v>
      </c>
      <c r="BN41" s="11">
        <v>331857.66246355866</v>
      </c>
      <c r="BO41" s="11">
        <v>371582.57</v>
      </c>
      <c r="BP41" s="11">
        <v>374770.04</v>
      </c>
      <c r="BQ41" s="21">
        <f t="shared" si="62"/>
        <v>4399155.7464057207</v>
      </c>
      <c r="BR41" s="11">
        <v>396345.61900000006</v>
      </c>
      <c r="BS41" s="11">
        <v>351762.89857000008</v>
      </c>
      <c r="BT41" s="11">
        <v>356575.72672000004</v>
      </c>
    </row>
    <row r="42" spans="1:72">
      <c r="A42" s="9">
        <v>2120132</v>
      </c>
      <c r="B42" s="85" t="s">
        <v>30</v>
      </c>
      <c r="C42" s="81" t="s">
        <v>43</v>
      </c>
      <c r="D42" s="81" t="s">
        <v>52</v>
      </c>
      <c r="E42" s="11">
        <v>46756.658920537622</v>
      </c>
      <c r="F42" s="11">
        <v>0</v>
      </c>
      <c r="G42" s="11">
        <v>223006.06490357631</v>
      </c>
      <c r="H42" s="11">
        <v>219775.38973734475</v>
      </c>
      <c r="I42" s="11">
        <v>242396.13752140934</v>
      </c>
      <c r="J42" s="11">
        <v>233525.98785681435</v>
      </c>
      <c r="K42" s="11">
        <v>255023.36494520289</v>
      </c>
      <c r="L42" s="11">
        <v>236290.54057298732</v>
      </c>
      <c r="M42" s="11">
        <v>222672.52309408083</v>
      </c>
      <c r="N42" s="11">
        <v>203003.3824488348</v>
      </c>
      <c r="O42" s="11">
        <v>471741.43433783739</v>
      </c>
      <c r="P42" s="11">
        <v>404428.02028333052</v>
      </c>
      <c r="Q42" s="21">
        <f t="shared" si="98"/>
        <v>2758619.5046219565</v>
      </c>
      <c r="R42" s="11">
        <v>331483.4238406989</v>
      </c>
      <c r="S42" s="11">
        <v>254233.64285047565</v>
      </c>
      <c r="T42" s="11">
        <v>331237.4071391722</v>
      </c>
      <c r="U42" s="11">
        <v>353057.84962473297</v>
      </c>
      <c r="V42" s="11">
        <v>316872.10257273522</v>
      </c>
      <c r="W42" s="11">
        <v>360001.36605728976</v>
      </c>
      <c r="X42" s="11">
        <v>345877.54710979975</v>
      </c>
      <c r="Y42" s="11">
        <v>280436.92865729408</v>
      </c>
      <c r="Z42" s="11">
        <v>257440.13751183814</v>
      </c>
      <c r="AA42" s="11">
        <v>193385.26459927301</v>
      </c>
      <c r="AB42" s="11">
        <v>179945.01827958837</v>
      </c>
      <c r="AC42" s="11">
        <v>197426.49</v>
      </c>
      <c r="AD42" s="21">
        <f t="shared" si="99"/>
        <v>3401397.1782428985</v>
      </c>
      <c r="AE42" s="11">
        <v>219225.96050857438</v>
      </c>
      <c r="AF42" s="11">
        <v>155265.63571949358</v>
      </c>
      <c r="AG42" s="11">
        <v>150204.24458592982</v>
      </c>
      <c r="AH42" s="11">
        <v>146769.52380981989</v>
      </c>
      <c r="AI42" s="11">
        <v>184125.04066493228</v>
      </c>
      <c r="AJ42" s="11">
        <v>172508.45069053269</v>
      </c>
      <c r="AK42" s="11">
        <v>190274.09904672953</v>
      </c>
      <c r="AL42" s="11">
        <v>191207.6124664961</v>
      </c>
      <c r="AM42" s="11">
        <v>213656.08</v>
      </c>
      <c r="AN42" s="11">
        <v>182348.09000000003</v>
      </c>
      <c r="AO42" s="11">
        <v>169889.49</v>
      </c>
      <c r="AP42" s="11">
        <v>178810.64</v>
      </c>
      <c r="AQ42" s="21">
        <f t="shared" si="100"/>
        <v>2154284.8674925086</v>
      </c>
      <c r="AR42" s="11">
        <v>177392.76</v>
      </c>
      <c r="AS42" s="11">
        <v>163536.0161735928</v>
      </c>
      <c r="AT42" s="11">
        <v>129185.18</v>
      </c>
      <c r="AU42" s="11">
        <v>168305.29742620169</v>
      </c>
      <c r="AV42" s="11">
        <v>148346.05999999997</v>
      </c>
      <c r="AW42" s="11">
        <v>137959.55999999997</v>
      </c>
      <c r="AX42" s="11">
        <v>175640.06903650839</v>
      </c>
      <c r="AY42" s="11">
        <v>149621.48416491004</v>
      </c>
      <c r="AZ42" s="11">
        <v>177431.94533650277</v>
      </c>
      <c r="BA42" s="11">
        <v>157943.66209677994</v>
      </c>
      <c r="BB42" s="11">
        <v>148090.65090000004</v>
      </c>
      <c r="BC42" s="11">
        <v>162428.48003729997</v>
      </c>
      <c r="BD42" s="21">
        <f t="shared" si="101"/>
        <v>1895881.1651717953</v>
      </c>
      <c r="BE42" s="11">
        <v>148907.09122100001</v>
      </c>
      <c r="BF42" s="11">
        <v>113313.89555336919</v>
      </c>
      <c r="BG42" s="11">
        <v>162722.48070134202</v>
      </c>
      <c r="BH42" s="11">
        <v>148209.45578178504</v>
      </c>
      <c r="BI42" s="11">
        <v>172381.43038885033</v>
      </c>
      <c r="BJ42" s="11">
        <v>185092.87901399998</v>
      </c>
      <c r="BK42" s="11">
        <v>189674.61740000002</v>
      </c>
      <c r="BL42" s="11">
        <v>214949.06573000003</v>
      </c>
      <c r="BM42" s="11">
        <v>240806.20902000001</v>
      </c>
      <c r="BN42" s="11">
        <v>226780.10511106465</v>
      </c>
      <c r="BO42" s="11">
        <v>234836.54</v>
      </c>
      <c r="BP42" s="11">
        <v>239976.53</v>
      </c>
      <c r="BQ42" s="21">
        <f t="shared" si="62"/>
        <v>2277650.2999214111</v>
      </c>
      <c r="BR42" s="11">
        <v>242765.97928999996</v>
      </c>
      <c r="BS42" s="11">
        <v>228173.53878</v>
      </c>
      <c r="BT42" s="11">
        <v>189061.25257350004</v>
      </c>
    </row>
    <row r="43" spans="1:72" ht="15" thickBot="1">
      <c r="A43" s="9">
        <v>2120140</v>
      </c>
      <c r="B43" s="85" t="s">
        <v>30</v>
      </c>
      <c r="C43" s="81" t="s">
        <v>43</v>
      </c>
      <c r="D43" s="87" t="s">
        <v>53</v>
      </c>
      <c r="E43" s="11">
        <v>0</v>
      </c>
      <c r="F43" s="11">
        <v>0</v>
      </c>
      <c r="G43" s="11">
        <v>4003.2820492435189</v>
      </c>
      <c r="H43" s="11">
        <v>3294365.1758027021</v>
      </c>
      <c r="I43" s="11">
        <v>3633443.194681427</v>
      </c>
      <c r="J43" s="11">
        <v>3500482.3923180564</v>
      </c>
      <c r="K43" s="11">
        <v>3822721.4316196083</v>
      </c>
      <c r="L43" s="11">
        <v>3541922.1832141862</v>
      </c>
      <c r="M43" s="11">
        <v>1639051.3634932532</v>
      </c>
      <c r="N43" s="11">
        <v>2339015.1498043123</v>
      </c>
      <c r="O43" s="11">
        <v>2273360.4245685828</v>
      </c>
      <c r="P43" s="11">
        <v>3006682.7018749537</v>
      </c>
      <c r="Q43" s="21">
        <f t="shared" si="98"/>
        <v>27055047.299426325</v>
      </c>
      <c r="R43" s="11">
        <v>3328696.6930772942</v>
      </c>
      <c r="S43" s="11">
        <v>2756387.0884432634</v>
      </c>
      <c r="T43" s="11">
        <v>2333620.1973792193</v>
      </c>
      <c r="U43" s="11">
        <v>3361162.5682043331</v>
      </c>
      <c r="V43" s="11">
        <v>4003715.894581819</v>
      </c>
      <c r="W43" s="11">
        <v>4018985.7788046212</v>
      </c>
      <c r="X43" s="11">
        <v>4851608.2633768152</v>
      </c>
      <c r="Y43" s="11">
        <v>4796039.749298742</v>
      </c>
      <c r="Z43" s="11">
        <v>5141063.7833699379</v>
      </c>
      <c r="AA43" s="11">
        <v>5502376.7365146354</v>
      </c>
      <c r="AB43" s="11">
        <v>5600719.0892632492</v>
      </c>
      <c r="AC43" s="11">
        <v>6046404.6600000001</v>
      </c>
      <c r="AD43" s="21">
        <f t="shared" si="99"/>
        <v>51740780.502313927</v>
      </c>
      <c r="AE43" s="11">
        <v>6614720.1752308868</v>
      </c>
      <c r="AF43" s="11">
        <v>5120820.3389805648</v>
      </c>
      <c r="AG43" s="11">
        <v>5925317.9529579086</v>
      </c>
      <c r="AH43" s="11">
        <v>5740653.0554588009</v>
      </c>
      <c r="AI43" s="11">
        <v>5559603.2845845204</v>
      </c>
      <c r="AJ43" s="11">
        <v>4812763.4347887998</v>
      </c>
      <c r="AK43" s="11">
        <v>6515249.4221129511</v>
      </c>
      <c r="AL43" s="11">
        <v>5683277.0542055983</v>
      </c>
      <c r="AM43" s="11">
        <v>6694128.9399999995</v>
      </c>
      <c r="AN43" s="11">
        <v>5578170.7499999991</v>
      </c>
      <c r="AO43" s="11">
        <v>5613347.2199999988</v>
      </c>
      <c r="AP43" s="11">
        <v>6112151.620000001</v>
      </c>
      <c r="AQ43" s="21">
        <f>+SUM(AE43:AP43)</f>
        <v>69970203.248320028</v>
      </c>
      <c r="AR43" s="11">
        <v>5120137.21</v>
      </c>
      <c r="AS43" s="11">
        <v>5365016.8070575576</v>
      </c>
      <c r="AT43" s="11">
        <v>4071660.66</v>
      </c>
      <c r="AU43" s="11">
        <v>5046505.4250716837</v>
      </c>
      <c r="AV43" s="11">
        <v>4587239.53</v>
      </c>
      <c r="AW43" s="11">
        <v>4621338.3000000007</v>
      </c>
      <c r="AX43" s="11">
        <v>5263228.0560052702</v>
      </c>
      <c r="AY43" s="11">
        <v>4779757.7494399995</v>
      </c>
      <c r="AZ43" s="11">
        <v>5022165.0228784122</v>
      </c>
      <c r="BA43" s="11">
        <v>4371379.6801200006</v>
      </c>
      <c r="BB43" s="11">
        <v>4951089.2360000005</v>
      </c>
      <c r="BC43" s="11">
        <v>5361484.6740999985</v>
      </c>
      <c r="BD43" s="21">
        <f>+SUM(AR43:BC43)</f>
        <v>58561002.350672923</v>
      </c>
      <c r="BE43" s="11">
        <v>5258484.6084999992</v>
      </c>
      <c r="BF43" s="11">
        <v>3451258.8556053359</v>
      </c>
      <c r="BG43" s="11">
        <v>5206200.5820110496</v>
      </c>
      <c r="BH43" s="11">
        <v>5438126.2089385008</v>
      </c>
      <c r="BI43" s="11">
        <v>5535453.6525680842</v>
      </c>
      <c r="BJ43" s="11">
        <v>5566875.0758299995</v>
      </c>
      <c r="BK43" s="11">
        <v>6291134.0174000002</v>
      </c>
      <c r="BL43" s="11">
        <v>6926564.5445999997</v>
      </c>
      <c r="BM43" s="11">
        <v>7305363.7006000001</v>
      </c>
      <c r="BN43" s="11">
        <v>6272912.4156826008</v>
      </c>
      <c r="BO43" s="11">
        <v>7166938.5499999998</v>
      </c>
      <c r="BP43" s="11">
        <v>7122635.9199999999</v>
      </c>
      <c r="BQ43" s="21">
        <f>+SUM(BE43:BP43)</f>
        <v>71541948.131735563</v>
      </c>
      <c r="BR43" s="11">
        <v>6831523.0921</v>
      </c>
      <c r="BS43" s="11">
        <v>6233443.1226000004</v>
      </c>
      <c r="BT43" s="11">
        <v>5880073.4755500006</v>
      </c>
    </row>
    <row r="44" spans="1:72">
      <c r="C44" s="89" t="s">
        <v>54</v>
      </c>
      <c r="D44" s="89"/>
      <c r="E44" s="26">
        <f t="shared" ref="E44:AE44" si="102">+SUM(E31+E28+E19+E13+E10+E2)</f>
        <v>3494836.34</v>
      </c>
      <c r="F44" s="26">
        <f t="shared" si="102"/>
        <v>4912042.2</v>
      </c>
      <c r="G44" s="26">
        <f t="shared" si="102"/>
        <v>12313355.189999999</v>
      </c>
      <c r="H44" s="26">
        <f t="shared" si="102"/>
        <v>20690629.719999991</v>
      </c>
      <c r="I44" s="26">
        <f t="shared" si="102"/>
        <v>22820247.221527103</v>
      </c>
      <c r="J44" s="26">
        <f t="shared" si="102"/>
        <v>21985172.93759397</v>
      </c>
      <c r="K44" s="26">
        <f t="shared" si="102"/>
        <v>24009031.426879887</v>
      </c>
      <c r="L44" s="26">
        <f t="shared" si="102"/>
        <v>22245440.200000003</v>
      </c>
      <c r="M44" s="26">
        <f t="shared" si="102"/>
        <v>23947779.66</v>
      </c>
      <c r="N44" s="26">
        <f t="shared" si="102"/>
        <v>27116815.689999998</v>
      </c>
      <c r="O44" s="26">
        <f t="shared" si="102"/>
        <v>25015038.180000007</v>
      </c>
      <c r="P44" s="26">
        <f t="shared" si="102"/>
        <v>23729167.330000006</v>
      </c>
      <c r="Q44" s="26">
        <f t="shared" si="102"/>
        <v>232279556.09600094</v>
      </c>
      <c r="R44" s="26">
        <f t="shared" si="102"/>
        <v>28018284.967285149</v>
      </c>
      <c r="S44" s="26">
        <f t="shared" si="102"/>
        <v>23799654.729980487</v>
      </c>
      <c r="T44" s="26">
        <f t="shared" si="102"/>
        <v>25309038.66174316</v>
      </c>
      <c r="U44" s="26">
        <f t="shared" si="102"/>
        <v>28086968.280761726</v>
      </c>
      <c r="V44" s="26">
        <f t="shared" si="102"/>
        <v>28449975.50689698</v>
      </c>
      <c r="W44" s="26">
        <f t="shared" si="102"/>
        <v>29120126.813476566</v>
      </c>
      <c r="X44" s="26">
        <f t="shared" si="102"/>
        <v>28528546.178222671</v>
      </c>
      <c r="Y44" s="26">
        <f t="shared" si="102"/>
        <v>29520917.027197279</v>
      </c>
      <c r="Z44" s="26">
        <f t="shared" si="102"/>
        <v>30101047.52441407</v>
      </c>
      <c r="AA44" s="26">
        <f t="shared" si="102"/>
        <v>31042850.680175789</v>
      </c>
      <c r="AB44" s="26">
        <f t="shared" si="102"/>
        <v>29052928.979248058</v>
      </c>
      <c r="AC44" s="26">
        <f t="shared" si="102"/>
        <v>32898679.719999999</v>
      </c>
      <c r="AD44" s="26">
        <f t="shared" si="102"/>
        <v>343929019.06940186</v>
      </c>
      <c r="AE44" s="26">
        <f t="shared" si="102"/>
        <v>30283509.218994152</v>
      </c>
      <c r="AF44" s="26">
        <f t="shared" ref="AF44" si="103">+SUM(AF31+AF28+AF19+AF13+AF10+AF2)</f>
        <v>28111257.174484264</v>
      </c>
      <c r="AG44" s="26">
        <f t="shared" ref="AG44:AP44" si="104">+SUM(AG31+AG28+AG19+AG13+AG10+AG2)</f>
        <v>32774878.574218754</v>
      </c>
      <c r="AH44" s="26">
        <f t="shared" si="104"/>
        <v>29517681.488600317</v>
      </c>
      <c r="AI44" s="26">
        <f t="shared" si="104"/>
        <v>31505238.86425782</v>
      </c>
      <c r="AJ44" s="26">
        <f t="shared" si="104"/>
        <v>28244696.236328147</v>
      </c>
      <c r="AK44" s="26">
        <f t="shared" si="104"/>
        <v>33504522.437350366</v>
      </c>
      <c r="AL44" s="26">
        <f t="shared" si="104"/>
        <v>30777666.570562501</v>
      </c>
      <c r="AM44" s="26">
        <f t="shared" si="104"/>
        <v>33807316.239999995</v>
      </c>
      <c r="AN44" s="26">
        <f t="shared" si="104"/>
        <v>31211757.229999997</v>
      </c>
      <c r="AO44" s="26">
        <f t="shared" si="104"/>
        <v>29368959.489999998</v>
      </c>
      <c r="AP44" s="26">
        <f t="shared" si="104"/>
        <v>32737172.770000003</v>
      </c>
      <c r="AQ44" s="26">
        <f>+SUM(AQ31+AQ28+AQ19+AQ13+AQ10+AQ2)</f>
        <v>371844656.29479623</v>
      </c>
      <c r="AR44" s="26">
        <f t="shared" ref="AR44" si="105">+SUM(AR31+AR28+AR19+AR13+AR10+AR2)</f>
        <v>30157256.470000006</v>
      </c>
      <c r="AS44" s="26">
        <f t="shared" ref="AS44" si="106">+SUM(AS31+AS28+AS19+AS13+AS10+AS2)</f>
        <v>31268252.773437504</v>
      </c>
      <c r="AT44" s="26">
        <f t="shared" ref="AT44:BC44" si="107">+SUM(AT31+AT28+AT19+AT13+AT10+AT2)</f>
        <v>30609027.618379995</v>
      </c>
      <c r="AU44" s="26">
        <f t="shared" si="107"/>
        <v>24059151.802604709</v>
      </c>
      <c r="AV44" s="26">
        <f t="shared" si="107"/>
        <v>31304519.290000003</v>
      </c>
      <c r="AW44" s="26">
        <f t="shared" si="107"/>
        <v>30313697.938781742</v>
      </c>
      <c r="AX44" s="26">
        <f t="shared" si="107"/>
        <v>29113873.523097586</v>
      </c>
      <c r="AY44" s="26">
        <f t="shared" si="107"/>
        <v>31396255.130085792</v>
      </c>
      <c r="AZ44" s="26">
        <f t="shared" si="107"/>
        <v>30539978.386718757</v>
      </c>
      <c r="BA44" s="26">
        <f t="shared" si="107"/>
        <v>31406664.30198238</v>
      </c>
      <c r="BB44" s="26">
        <f t="shared" si="107"/>
        <v>31423448.451163623</v>
      </c>
      <c r="BC44" s="26">
        <f t="shared" si="107"/>
        <v>32561540.796394397</v>
      </c>
      <c r="BD44" s="26">
        <f>+SUM(BD31+BD28+BD19+BD13+BD10+BD2)</f>
        <v>364153666.48264647</v>
      </c>
      <c r="BE44" s="26">
        <f t="shared" ref="BE44:BF44" si="108">+SUM(BE31+BE28+BE19+BE13+BE10+BE2)/1000</f>
        <v>30393.304969994395</v>
      </c>
      <c r="BF44" s="26">
        <f t="shared" si="108"/>
        <v>27658.978057617198</v>
      </c>
      <c r="BG44" s="26">
        <f t="shared" ref="BG44:BH44" si="109">+SUM(BG31+BG28+BG19+BG13+BG10+BG2)/1000</f>
        <v>32689.40047180176</v>
      </c>
      <c r="BH44" s="26">
        <f t="shared" si="109"/>
        <v>30520.936280666359</v>
      </c>
      <c r="BI44" s="26">
        <f t="shared" ref="BI44:BJ44" si="110">+SUM(BI31+BI28+BI19+BI13+BI10+BI2)/1000</f>
        <v>33169.601132324227</v>
      </c>
      <c r="BJ44" s="26">
        <f t="shared" si="110"/>
        <v>32828.365566711633</v>
      </c>
      <c r="BK44" s="26">
        <f t="shared" ref="BK44:BL44" si="111">+SUM(BK31+BK28+BK19+BK13+BK10+BK2)/1000</f>
        <v>34567.286808893099</v>
      </c>
      <c r="BL44" s="26">
        <f t="shared" si="111"/>
        <v>33819.731490035927</v>
      </c>
      <c r="BM44" s="26">
        <f t="shared" ref="BM44:BN44" si="112">+SUM(BM31+BM28+BM19+BM13+BM10+BM2)/1000</f>
        <v>35577.562878326797</v>
      </c>
      <c r="BN44" s="26">
        <f t="shared" si="112"/>
        <v>31904.283952056889</v>
      </c>
      <c r="BO44" s="26">
        <f t="shared" ref="BO44:BP44" si="113">+SUM(BO31+BO28+BO19+BO13+BO10+BO2)/1000</f>
        <v>34701.935610000008</v>
      </c>
      <c r="BP44" s="26">
        <f t="shared" si="113"/>
        <v>34282.998360000005</v>
      </c>
      <c r="BQ44" s="26">
        <f>+SUM(BQ31+BQ28+BQ19+BQ13+BQ10+BQ2)</f>
        <v>392114385.57842833</v>
      </c>
      <c r="BR44" s="26">
        <f t="shared" ref="BR44:BS44" si="114">+SUM(BR31+BR28+BR19+BR13+BR10+BR2)/1000</f>
        <v>33366.131813897904</v>
      </c>
      <c r="BS44" s="26">
        <f t="shared" si="114"/>
        <v>31938.756569197296</v>
      </c>
      <c r="BT44" s="26">
        <f t="shared" ref="BT44" si="115">+SUM(BT31+BT28+BT19+BT13+BT10+BT2)/1000</f>
        <v>33663.218419642108</v>
      </c>
    </row>
    <row r="45" spans="1:72" ht="17.100000000000001" customHeight="1">
      <c r="N45" s="1"/>
      <c r="AQ45">
        <f>+AQ44/1000</f>
        <v>371844.65629479621</v>
      </c>
      <c r="BL45" s="2"/>
      <c r="BM45" s="2"/>
      <c r="BN45" s="2"/>
      <c r="BO45" s="2"/>
      <c r="BP45" s="2"/>
      <c r="BR45" s="2"/>
      <c r="BS45" s="2"/>
      <c r="BT45" s="2"/>
    </row>
    <row r="46" spans="1:72">
      <c r="E46" s="2">
        <f t="shared" ref="E46:AD46" si="116">+E2/E44</f>
        <v>0.15154912499455633</v>
      </c>
      <c r="F46" s="2">
        <f t="shared" si="116"/>
        <v>0.10609225735830884</v>
      </c>
      <c r="G46" s="2">
        <f t="shared" si="116"/>
        <v>3.6533093181005609E-2</v>
      </c>
      <c r="H46" s="2">
        <f t="shared" si="116"/>
        <v>2.6075409577396888E-2</v>
      </c>
      <c r="I46" s="2">
        <f t="shared" si="116"/>
        <v>2.6075409577396885E-2</v>
      </c>
      <c r="J46" s="2">
        <f t="shared" si="116"/>
        <v>2.607540846536803E-2</v>
      </c>
      <c r="K46" s="2">
        <f t="shared" si="116"/>
        <v>2.6075408465368023E-2</v>
      </c>
      <c r="L46" s="2">
        <f t="shared" si="116"/>
        <v>2.6075408465368027E-2</v>
      </c>
      <c r="M46" s="2">
        <f t="shared" si="116"/>
        <v>2.8164583142917615E-2</v>
      </c>
      <c r="N46" s="2">
        <f t="shared" si="116"/>
        <v>1.4740421594774443E-2</v>
      </c>
      <c r="O46" s="2">
        <f t="shared" si="116"/>
        <v>2.6692517412541059E-2</v>
      </c>
      <c r="P46" s="2">
        <f t="shared" si="116"/>
        <v>2.053725325640509E-2</v>
      </c>
      <c r="Q46" s="2">
        <f t="shared" si="116"/>
        <v>2.8602574543118535E-2</v>
      </c>
      <c r="R46" s="2">
        <f t="shared" si="116"/>
        <v>1.771451076901652E-2</v>
      </c>
      <c r="S46" s="2">
        <f t="shared" si="116"/>
        <v>1.9758154041913181E-2</v>
      </c>
      <c r="T46" s="2">
        <f t="shared" si="116"/>
        <v>2.0553506667141938E-2</v>
      </c>
      <c r="U46" s="2">
        <f t="shared" si="116"/>
        <v>1.7784500068713838E-2</v>
      </c>
      <c r="V46" s="2">
        <f t="shared" si="116"/>
        <v>1.7882364979961998E-2</v>
      </c>
      <c r="W46" s="2">
        <f t="shared" si="116"/>
        <v>1.6661204047948883E-2</v>
      </c>
      <c r="X46" s="2">
        <f t="shared" si="116"/>
        <v>1.7940761938691617E-2</v>
      </c>
      <c r="Y46" s="2">
        <f t="shared" si="116"/>
        <v>1.808321944843953E-2</v>
      </c>
      <c r="Z46" s="2">
        <f t="shared" ref="Z46:AA46" si="117">+Z2/Z44</f>
        <v>1.7489883465921226E-2</v>
      </c>
      <c r="AA46" s="2">
        <f t="shared" si="117"/>
        <v>1.7676096222124234E-2</v>
      </c>
      <c r="AB46" s="2">
        <f t="shared" ref="AB46:AC46" si="118">+AB2/AB44</f>
        <v>1.8448338172633742E-2</v>
      </c>
      <c r="AC46" s="2">
        <f t="shared" si="118"/>
        <v>1.6539283479793096E-2</v>
      </c>
      <c r="AD46" s="2">
        <f t="shared" si="116"/>
        <v>1.7972124104382453E-2</v>
      </c>
      <c r="AE46" s="2">
        <f t="shared" ref="AE46" si="119">+AE2/AE44</f>
        <v>1.7941979890081193E-2</v>
      </c>
      <c r="AF46" s="2">
        <f t="shared" ref="AF46" si="120">+AF2/AF44</f>
        <v>1.8394443963529381E-2</v>
      </c>
      <c r="AG46" s="2">
        <f>+AG2/AG44</f>
        <v>1.7943680294243154E-2</v>
      </c>
      <c r="AH46" s="2">
        <f>+AH2/AH44</f>
        <v>2.8281604943843082E-2</v>
      </c>
      <c r="AI46" s="2">
        <f>+AI2/AI44</f>
        <v>1.7442392330698841E-2</v>
      </c>
      <c r="AJ46" s="2">
        <f>+AJ2/AJ44</f>
        <v>1.7986625422604721E-2</v>
      </c>
      <c r="AK46" s="2">
        <f>+AK2/AK44</f>
        <v>1.5982776877548763E-2</v>
      </c>
      <c r="AL46" s="2">
        <f t="shared" ref="AL46:AP46" si="121">+AL2/AL44</f>
        <v>1.808115367553477E-2</v>
      </c>
      <c r="AM46" s="2">
        <f t="shared" si="121"/>
        <v>1.5691527130814929E-2</v>
      </c>
      <c r="AN46" s="2">
        <f t="shared" si="121"/>
        <v>1.7608749355250579E-2</v>
      </c>
      <c r="AO46" s="2">
        <f t="shared" si="121"/>
        <v>1.8054636909439932E-2</v>
      </c>
      <c r="AP46" s="2">
        <f t="shared" si="121"/>
        <v>1.7275206199793038E-2</v>
      </c>
      <c r="AR46" s="2">
        <f t="shared" ref="AR46:AS46" si="122">+AR2/AR44</f>
        <v>1.8433062057650759E-2</v>
      </c>
      <c r="AS46" s="2">
        <f t="shared" si="122"/>
        <v>1.7886535635303968E-2</v>
      </c>
      <c r="AT46" s="2">
        <f>+AT2/AT44</f>
        <v>1.9800181350291338E-2</v>
      </c>
      <c r="AU46" s="2">
        <f>+AU2/AU44</f>
        <v>2.3262211865231759E-2</v>
      </c>
      <c r="AV46" s="2">
        <f>+AV2/AV44</f>
        <v>1.6806282988286059E-2</v>
      </c>
      <c r="AW46" s="2">
        <f>+AW2/AW44</f>
        <v>1.5471733305093707E-2</v>
      </c>
      <c r="AX46" s="2">
        <f>+AX2/AX44</f>
        <v>1.7023029757478103E-2</v>
      </c>
      <c r="AY46" s="2">
        <f t="shared" ref="AY46:BC46" si="123">+AY2/AY44</f>
        <v>1.635129768896413E-2</v>
      </c>
      <c r="AZ46" s="2">
        <f t="shared" si="123"/>
        <v>1.6418960047994827E-2</v>
      </c>
      <c r="BA46" s="2">
        <f t="shared" si="123"/>
        <v>1.7172213869651804E-2</v>
      </c>
      <c r="BB46" s="2">
        <f t="shared" si="123"/>
        <v>1.6609297426469213E-2</v>
      </c>
      <c r="BC46" s="2">
        <f t="shared" si="123"/>
        <v>1.7143024452246157E-2</v>
      </c>
      <c r="BE46" s="2">
        <f t="shared" ref="BE46:BJ46" si="124">+BE2/BE44/1000</f>
        <v>1.8323140211247081E-2</v>
      </c>
      <c r="BF46" s="2">
        <f t="shared" si="124"/>
        <v>1.8751802388207773E-2</v>
      </c>
      <c r="BG46" s="2">
        <f t="shared" si="124"/>
        <v>1.7869512994831804E-2</v>
      </c>
      <c r="BH46" s="2">
        <f t="shared" si="124"/>
        <v>1.7314471196812887E-2</v>
      </c>
      <c r="BI46" s="2">
        <f t="shared" si="124"/>
        <v>1.5433282896146315E-2</v>
      </c>
      <c r="BJ46" s="2">
        <f t="shared" si="124"/>
        <v>1.4995089661742466E-2</v>
      </c>
      <c r="BK46" s="2">
        <f t="shared" ref="BK46:BL46" si="125">+BK2/BK44/1000</f>
        <v>1.486571093674606E-2</v>
      </c>
      <c r="BL46" s="2">
        <f t="shared" si="125"/>
        <v>1.5472413036261635E-2</v>
      </c>
      <c r="BM46" s="2">
        <f t="shared" ref="BM46:BN46" si="126">+BM2/BM44/1000</f>
        <v>1.454597268121639E-2</v>
      </c>
      <c r="BN46" s="2">
        <f t="shared" si="126"/>
        <v>1.7416389246572322E-2</v>
      </c>
      <c r="BO46" s="2">
        <f t="shared" ref="BO46:BP46" si="127">+BO2/BO44/1000</f>
        <v>1.5430843282577345E-2</v>
      </c>
      <c r="BP46" s="2">
        <f t="shared" si="127"/>
        <v>1.6278693425226996E-2</v>
      </c>
      <c r="BR46" s="2">
        <f t="shared" ref="BR46:BS46" si="128">+BR2/BR44/1000</f>
        <v>1.7124293470344925E-2</v>
      </c>
      <c r="BS46" s="2">
        <f t="shared" si="128"/>
        <v>1.6766737309402983E-2</v>
      </c>
      <c r="BT46" s="2">
        <f t="shared" ref="BT46" si="129">+BT2/BT44/1000</f>
        <v>1.7482489174992458E-2</v>
      </c>
    </row>
    <row r="47" spans="1:72">
      <c r="E47" s="2">
        <f t="shared" ref="E47:AD47" si="130">+E10/E44</f>
        <v>5.5906613058331847E-2</v>
      </c>
      <c r="F47" s="2">
        <f t="shared" si="130"/>
        <v>5.2697465318650792E-2</v>
      </c>
      <c r="G47" s="2">
        <f t="shared" si="130"/>
        <v>1.0423377662440211E-2</v>
      </c>
      <c r="H47" s="2">
        <f t="shared" si="130"/>
        <v>1.163312320579944E-2</v>
      </c>
      <c r="I47" s="2">
        <f t="shared" si="130"/>
        <v>1.1633123205799439E-2</v>
      </c>
      <c r="J47" s="2">
        <f t="shared" si="130"/>
        <v>1.1633122709685712E-2</v>
      </c>
      <c r="K47" s="2">
        <f t="shared" si="130"/>
        <v>1.1633122709685709E-2</v>
      </c>
      <c r="L47" s="2">
        <f t="shared" si="130"/>
        <v>1.163312270968571E-2</v>
      </c>
      <c r="M47" s="2">
        <f t="shared" si="130"/>
        <v>1.2565174279201152E-2</v>
      </c>
      <c r="N47" s="2">
        <f t="shared" si="130"/>
        <v>6.3767876602350993E-3</v>
      </c>
      <c r="O47" s="2">
        <f t="shared" si="130"/>
        <v>9.2242136321211594E-3</v>
      </c>
      <c r="P47" s="2">
        <f t="shared" si="130"/>
        <v>3.0333377304931405E-3</v>
      </c>
      <c r="Q47" s="2">
        <f t="shared" si="130"/>
        <v>1.1448014707690845E-2</v>
      </c>
      <c r="R47" s="2">
        <f t="shared" si="130"/>
        <v>2.6352056490176199E-3</v>
      </c>
      <c r="S47" s="2">
        <f t="shared" si="130"/>
        <v>2.7741529284214389E-3</v>
      </c>
      <c r="T47" s="2">
        <f t="shared" si="130"/>
        <v>2.8663826373098223E-3</v>
      </c>
      <c r="U47" s="2">
        <f t="shared" si="130"/>
        <v>2.7073672532892186E-3</v>
      </c>
      <c r="V47" s="2">
        <f t="shared" si="130"/>
        <v>2.6969682099856509E-3</v>
      </c>
      <c r="W47" s="2">
        <f t="shared" si="130"/>
        <v>2.5206345417125146E-3</v>
      </c>
      <c r="X47" s="2">
        <f t="shared" si="130"/>
        <v>2.6422778364323415E-3</v>
      </c>
      <c r="Y47" s="2">
        <f t="shared" si="130"/>
        <v>2.5361387103044111E-3</v>
      </c>
      <c r="Z47" s="2">
        <f t="shared" ref="Z47:AA47" si="131">+Z10/Z44</f>
        <v>2.4794962477649798E-3</v>
      </c>
      <c r="AA47" s="2">
        <f t="shared" si="131"/>
        <v>2.5233241201888983E-3</v>
      </c>
      <c r="AB47" s="2">
        <f t="shared" ref="AB47:AC47" si="132">+AB10/AB44</f>
        <v>2.5817140093249151E-3</v>
      </c>
      <c r="AC47" s="2">
        <f t="shared" si="132"/>
        <v>2.2756958831538182E-3</v>
      </c>
      <c r="AD47" s="2">
        <f t="shared" si="130"/>
        <v>2.5925834028575835E-3</v>
      </c>
      <c r="AE47" s="2">
        <f t="shared" ref="AE47" si="133">+AE10/AE44</f>
        <v>2.5690668029450087E-3</v>
      </c>
      <c r="AF47" s="2">
        <f t="shared" ref="AF47:AG47" si="134">+AF10/AF44</f>
        <v>2.5597301641243943E-3</v>
      </c>
      <c r="AG47" s="2">
        <f t="shared" si="134"/>
        <v>2.6068449129892811E-3</v>
      </c>
      <c r="AH47" s="2">
        <f t="shared" ref="AH47:AI47" si="135">+AH10/AH44</f>
        <v>2.460922205304241E-3</v>
      </c>
      <c r="AI47" s="2">
        <f t="shared" si="135"/>
        <v>2.694508467395349E-3</v>
      </c>
      <c r="AJ47" s="2">
        <f t="shared" ref="AJ47:AK47" si="136">+AJ10/AJ44</f>
        <v>2.7617179281042305E-3</v>
      </c>
      <c r="AK47" s="2">
        <f t="shared" si="136"/>
        <v>2.4934295070572886E-3</v>
      </c>
      <c r="AL47" s="2">
        <f t="shared" ref="AL47:AP47" si="137">+AL10/AL44</f>
        <v>2.6509714305496452E-3</v>
      </c>
      <c r="AM47" s="2">
        <f t="shared" si="137"/>
        <v>2.3040971204876695E-3</v>
      </c>
      <c r="AN47" s="2">
        <f t="shared" si="137"/>
        <v>2.5621380241653258E-3</v>
      </c>
      <c r="AO47" s="2">
        <f t="shared" si="137"/>
        <v>2.6857577309423431E-3</v>
      </c>
      <c r="AP47" s="2">
        <f t="shared" si="137"/>
        <v>2.4313852805561008E-3</v>
      </c>
      <c r="AR47" s="2">
        <f t="shared" ref="AR47:BC47" si="138">+AR10/AR44</f>
        <v>2.7743273027249615E-3</v>
      </c>
      <c r="AS47" s="2">
        <f t="shared" si="138"/>
        <v>2.6274720698121145E-3</v>
      </c>
      <c r="AT47" s="2">
        <f t="shared" si="138"/>
        <v>2.8535313531996066E-3</v>
      </c>
      <c r="AU47" s="2">
        <f t="shared" si="138"/>
        <v>3.4429536452752212E-3</v>
      </c>
      <c r="AV47" s="2">
        <f t="shared" si="138"/>
        <v>2.6204510358414767E-3</v>
      </c>
      <c r="AW47" s="2">
        <f t="shared" si="138"/>
        <v>2.6554480071781027E-3</v>
      </c>
      <c r="AX47" s="2">
        <f t="shared" si="138"/>
        <v>2.8112019732964202E-3</v>
      </c>
      <c r="AY47" s="2">
        <f t="shared" si="138"/>
        <v>2.8073760863134871E-3</v>
      </c>
      <c r="AZ47" s="2">
        <f t="shared" si="138"/>
        <v>2.7526103376959523E-3</v>
      </c>
      <c r="BA47" s="2">
        <f t="shared" si="138"/>
        <v>2.4393485367105437E-3</v>
      </c>
      <c r="BB47" s="2">
        <f t="shared" si="138"/>
        <v>2.4880185644648718E-3</v>
      </c>
      <c r="BC47" s="2">
        <f t="shared" si="138"/>
        <v>2.3237912502708925E-3</v>
      </c>
      <c r="BE47" s="2">
        <f t="shared" ref="BE47:BF47" si="139">+BE10/BE44/1000</f>
        <v>2.9958554157204186E-3</v>
      </c>
      <c r="BF47" s="2">
        <f t="shared" si="139"/>
        <v>2.8726129870041842E-3</v>
      </c>
      <c r="BG47" s="2">
        <f t="shared" ref="BG47:BH47" si="140">+BG10/BG44/1000</f>
        <v>2.7790262055484307E-3</v>
      </c>
      <c r="BH47" s="2">
        <f t="shared" si="140"/>
        <v>2.8988778657003016E-3</v>
      </c>
      <c r="BI47" s="2">
        <f t="shared" ref="BI47:BJ47" si="141">+BI10/BI44/1000</f>
        <v>2.5178762402416222E-3</v>
      </c>
      <c r="BJ47" s="2">
        <f t="shared" si="141"/>
        <v>2.7616623185143037E-3</v>
      </c>
      <c r="BK47" s="2">
        <f t="shared" ref="BK47:BL47" si="142">+BK10/BK44/1000</f>
        <v>2.418489963883776E-3</v>
      </c>
      <c r="BL47" s="2">
        <f t="shared" si="142"/>
        <v>2.4469647202072474E-3</v>
      </c>
      <c r="BM47" s="2">
        <f t="shared" ref="BM47:BN47" si="143">+BM10/BM44/1000</f>
        <v>2.1525585151211369E-3</v>
      </c>
      <c r="BN47" s="2">
        <f t="shared" si="143"/>
        <v>2.5116400438185585E-3</v>
      </c>
      <c r="BO47" s="2">
        <f t="shared" ref="BO47:BP47" si="144">+BO10/BO44/1000</f>
        <v>2.2628789610620796E-3</v>
      </c>
      <c r="BP47" s="2">
        <f t="shared" si="144"/>
        <v>2.4271637248942184E-3</v>
      </c>
      <c r="BR47" s="2">
        <f t="shared" ref="BR47:BS47" si="145">+BR10/BR44/1000</f>
        <v>2.6995266946551548E-3</v>
      </c>
      <c r="BS47" s="2">
        <f t="shared" si="145"/>
        <v>2.6098000417896327E-3</v>
      </c>
      <c r="BT47" s="2">
        <f t="shared" ref="BT47" si="146">+BT10/BT44/1000</f>
        <v>2.6613639030344527E-3</v>
      </c>
    </row>
    <row r="48" spans="1:72">
      <c r="E48" s="2">
        <f t="shared" ref="E48:AD48" si="147">+E13/E44</f>
        <v>0.36931869842033904</v>
      </c>
      <c r="F48" s="2">
        <f t="shared" si="147"/>
        <v>0.25627274900138081</v>
      </c>
      <c r="G48" s="2">
        <f t="shared" si="147"/>
        <v>0.23218209634515957</v>
      </c>
      <c r="H48" s="2">
        <f t="shared" si="147"/>
        <v>0.14284346070676202</v>
      </c>
      <c r="I48" s="2">
        <f t="shared" si="147"/>
        <v>0.14284346070676204</v>
      </c>
      <c r="J48" s="2">
        <f t="shared" si="147"/>
        <v>0.142843454614967</v>
      </c>
      <c r="K48" s="2">
        <f t="shared" si="147"/>
        <v>0.14284345461496697</v>
      </c>
      <c r="L48" s="2">
        <f t="shared" si="147"/>
        <v>0.142843454614967</v>
      </c>
      <c r="M48" s="2">
        <f t="shared" si="147"/>
        <v>0.15428814314713882</v>
      </c>
      <c r="N48" s="2">
        <f t="shared" si="147"/>
        <v>0.1305458775033837</v>
      </c>
      <c r="O48" s="2">
        <f t="shared" si="147"/>
        <v>0.13066260411780647</v>
      </c>
      <c r="P48" s="2">
        <f t="shared" si="147"/>
        <v>0.11532001511540489</v>
      </c>
      <c r="Q48" s="2">
        <f t="shared" si="147"/>
        <v>0.1490063434868194</v>
      </c>
      <c r="R48" s="2">
        <f t="shared" si="147"/>
        <v>9.1573107240574714E-2</v>
      </c>
      <c r="S48" s="2">
        <f t="shared" si="147"/>
        <v>0.10742321624706355</v>
      </c>
      <c r="T48" s="2">
        <f t="shared" si="147"/>
        <v>0.12342021444346225</v>
      </c>
      <c r="U48" s="2">
        <f t="shared" si="147"/>
        <v>0.11304781754131253</v>
      </c>
      <c r="V48" s="2">
        <f t="shared" si="147"/>
        <v>0.11304694276902544</v>
      </c>
      <c r="W48" s="2">
        <f t="shared" si="147"/>
        <v>9.597350669148505E-2</v>
      </c>
      <c r="X48" s="2">
        <f t="shared" si="147"/>
        <v>0.10771966576930019</v>
      </c>
      <c r="Y48" s="2">
        <f t="shared" si="147"/>
        <v>0.10179672343591321</v>
      </c>
      <c r="Z48" s="2">
        <f t="shared" ref="Z48:AA48" si="148">+Z13/Z44</f>
        <v>9.3612876241978213E-2</v>
      </c>
      <c r="AA48" s="2">
        <f t="shared" si="148"/>
        <v>0.10443405584046186</v>
      </c>
      <c r="AB48" s="2">
        <f t="shared" ref="AB48:AC48" si="149">+AB13/AB44</f>
        <v>9.6202238298739765E-2</v>
      </c>
      <c r="AC48" s="2">
        <f t="shared" si="149"/>
        <v>8.6441967404277342E-2</v>
      </c>
      <c r="AD48" s="2">
        <f t="shared" si="147"/>
        <v>0.1023725644590523</v>
      </c>
      <c r="AE48" s="2">
        <f t="shared" ref="AE48" si="150">+AE13/AE44</f>
        <v>8.3811939730131485E-2</v>
      </c>
      <c r="AF48" s="2">
        <f t="shared" ref="AF48:AG48" si="151">+AF13/AF44</f>
        <v>9.6314192937107357E-2</v>
      </c>
      <c r="AG48" s="2">
        <f t="shared" si="151"/>
        <v>9.5475958888488976E-2</v>
      </c>
      <c r="AH48" s="2">
        <f t="shared" ref="AH48:AI48" si="152">+AH13/AH44</f>
        <v>9.1091118107021682E-2</v>
      </c>
      <c r="AI48" s="2">
        <f t="shared" si="152"/>
        <v>0.10792711417229489</v>
      </c>
      <c r="AJ48" s="2">
        <f t="shared" ref="AJ48:AK48" si="153">+AJ13/AJ44</f>
        <v>0.11438896487561775</v>
      </c>
      <c r="AK48" s="2">
        <f t="shared" si="153"/>
        <v>0.10311820683409605</v>
      </c>
      <c r="AL48" s="2">
        <f t="shared" ref="AL48:AP48" si="154">+AL13/AL44</f>
        <v>0.11182332405121249</v>
      </c>
      <c r="AM48" s="2">
        <f t="shared" si="154"/>
        <v>0.10039770521577494</v>
      </c>
      <c r="AN48" s="2">
        <f t="shared" si="154"/>
        <v>0.11052732451360288</v>
      </c>
      <c r="AO48" s="2">
        <f t="shared" si="154"/>
        <v>0.11849348531346285</v>
      </c>
      <c r="AP48" s="2">
        <f t="shared" si="154"/>
        <v>0.10320047438843021</v>
      </c>
      <c r="AR48" s="2">
        <f t="shared" ref="AR48:BC48" si="155">+AR13/AR44</f>
        <v>0.10968630761523648</v>
      </c>
      <c r="AS48" s="2">
        <f t="shared" si="155"/>
        <v>0.10411191373736411</v>
      </c>
      <c r="AT48" s="2">
        <f t="shared" si="155"/>
        <v>0.11190392372814896</v>
      </c>
      <c r="AU48" s="2">
        <f t="shared" si="155"/>
        <v>0.12681329953264672</v>
      </c>
      <c r="AV48" s="2">
        <f t="shared" si="155"/>
        <v>0.10099514644232059</v>
      </c>
      <c r="AW48" s="2">
        <f t="shared" si="155"/>
        <v>0.10803730665304694</v>
      </c>
      <c r="AX48" s="2">
        <f t="shared" si="155"/>
        <v>0.10652978154397529</v>
      </c>
      <c r="AY48" s="2">
        <f t="shared" si="155"/>
        <v>0.10630519843209912</v>
      </c>
      <c r="AZ48" s="2">
        <f t="shared" si="155"/>
        <v>0.10482126905340107</v>
      </c>
      <c r="BA48" s="2">
        <f t="shared" si="155"/>
        <v>0.1016540542167378</v>
      </c>
      <c r="BB48" s="2">
        <f t="shared" si="155"/>
        <v>9.1128664219247396E-2</v>
      </c>
      <c r="BC48" s="2">
        <f t="shared" si="155"/>
        <v>9.2307001055353069E-2</v>
      </c>
      <c r="BE48" s="2">
        <f t="shared" ref="BE48:BF48" si="156">+BE13/BE44/1000</f>
        <v>0.10227312997904528</v>
      </c>
      <c r="BF48" s="2">
        <f t="shared" si="156"/>
        <v>0.10569612466031264</v>
      </c>
      <c r="BG48" s="2">
        <f t="shared" ref="BG48:BH48" si="157">+BG13/BG44/1000</f>
        <v>0.10292558679122915</v>
      </c>
      <c r="BH48" s="2">
        <f t="shared" si="157"/>
        <v>0.11100074813443402</v>
      </c>
      <c r="BI48" s="2">
        <f t="shared" ref="BI48:BN48" si="158">+BI13/BI44/1000</f>
        <v>0.11254547951257197</v>
      </c>
      <c r="BJ48" s="2">
        <f t="shared" si="158"/>
        <v>0.10034917504150104</v>
      </c>
      <c r="BK48" s="2">
        <f t="shared" si="158"/>
        <v>9.2172345425698909E-2</v>
      </c>
      <c r="BL48" s="2">
        <f t="shared" si="158"/>
        <v>0.10276204878349073</v>
      </c>
      <c r="BM48" s="2">
        <f t="shared" si="158"/>
        <v>9.5561240906822165E-2</v>
      </c>
      <c r="BN48" s="2">
        <f t="shared" si="158"/>
        <v>0.10839014806160654</v>
      </c>
      <c r="BO48" s="2">
        <f t="shared" ref="BO48:BP48" si="159">+BO13/BO44/1000</f>
        <v>8.119929336702493E-2</v>
      </c>
      <c r="BP48" s="2">
        <f t="shared" si="159"/>
        <v>8.1475266272480126E-2</v>
      </c>
      <c r="BR48" s="2">
        <f t="shared" ref="BR48:BS48" si="160">+BR13/BR44/1000</f>
        <v>9.8285893371869132E-2</v>
      </c>
      <c r="BS48" s="2">
        <f t="shared" si="160"/>
        <v>9.0133195664760066E-2</v>
      </c>
      <c r="BT48" s="2">
        <f t="shared" ref="BT48" si="161">+BT13/BT44/1000</f>
        <v>8.9384288499524595E-2</v>
      </c>
    </row>
    <row r="49" spans="3:72">
      <c r="E49" s="2">
        <f t="shared" ref="E49:AD49" si="162">+E19/E44</f>
        <v>0.1126745809497733</v>
      </c>
      <c r="F49" s="2">
        <f t="shared" si="162"/>
        <v>0.31748053766476619</v>
      </c>
      <c r="G49" s="2">
        <f t="shared" si="162"/>
        <v>0.50980966199322075</v>
      </c>
      <c r="H49" s="2">
        <f t="shared" si="162"/>
        <v>0.48708813663959621</v>
      </c>
      <c r="I49" s="2">
        <f t="shared" si="162"/>
        <v>0.48708813663959627</v>
      </c>
      <c r="J49" s="2">
        <f t="shared" si="162"/>
        <v>0.48708811586691902</v>
      </c>
      <c r="K49" s="2">
        <f t="shared" si="162"/>
        <v>0.48708811586691902</v>
      </c>
      <c r="L49" s="2">
        <f t="shared" si="162"/>
        <v>0.48708811586691897</v>
      </c>
      <c r="M49" s="2">
        <f t="shared" si="162"/>
        <v>0.57231587953813001</v>
      </c>
      <c r="N49" s="2">
        <f t="shared" si="162"/>
        <v>0.50834503416984811</v>
      </c>
      <c r="O49" s="2">
        <f t="shared" si="162"/>
        <v>0.4952136828225232</v>
      </c>
      <c r="P49" s="2">
        <f t="shared" si="162"/>
        <v>0.43669697022061482</v>
      </c>
      <c r="Q49" s="2">
        <f t="shared" si="162"/>
        <v>0.48606823637299157</v>
      </c>
      <c r="R49" s="2">
        <f t="shared" si="162"/>
        <v>0.48412843677310097</v>
      </c>
      <c r="S49" s="2">
        <f t="shared" si="162"/>
        <v>0.47046132037558591</v>
      </c>
      <c r="T49" s="2">
        <f t="shared" si="162"/>
        <v>0.49535059463649089</v>
      </c>
      <c r="U49" s="2">
        <f t="shared" si="162"/>
        <v>0.48078674850527264</v>
      </c>
      <c r="V49" s="2">
        <f t="shared" si="162"/>
        <v>0.44046845696466241</v>
      </c>
      <c r="W49" s="2">
        <f t="shared" si="162"/>
        <v>0.46870828742383625</v>
      </c>
      <c r="X49" s="2">
        <f t="shared" si="162"/>
        <v>0.4169147462337674</v>
      </c>
      <c r="Y49" s="2">
        <f t="shared" si="162"/>
        <v>0.46184065877724023</v>
      </c>
      <c r="Z49" s="2">
        <f t="shared" ref="Z49:AA49" si="163">+Z19/Z44</f>
        <v>0.44717633646688143</v>
      </c>
      <c r="AA49" s="2">
        <f t="shared" si="163"/>
        <v>0.42460683164478086</v>
      </c>
      <c r="AB49" s="2">
        <f t="shared" ref="AB49:AC49" si="164">+AB19/AB44</f>
        <v>0.38653421785233666</v>
      </c>
      <c r="AC49" s="2">
        <f t="shared" si="164"/>
        <v>0.41315612254606299</v>
      </c>
      <c r="AD49" s="2">
        <f t="shared" si="162"/>
        <v>0.44769055286320059</v>
      </c>
      <c r="AE49" s="2">
        <f t="shared" ref="AE49" si="165">+AE19/AE44</f>
        <v>0.36373439664903173</v>
      </c>
      <c r="AF49" s="2">
        <f t="shared" ref="AF49:AG49" si="166">+AF19/AF44</f>
        <v>0.40592850309649431</v>
      </c>
      <c r="AG49" s="2">
        <f t="shared" si="166"/>
        <v>0.39766359269388107</v>
      </c>
      <c r="AH49" s="2">
        <f t="shared" ref="AH49:AI49" si="167">+AH19/AH44</f>
        <v>0.37475493277913841</v>
      </c>
      <c r="AI49" s="2">
        <f t="shared" si="167"/>
        <v>0.40265716937511331</v>
      </c>
      <c r="AJ49" s="2">
        <f t="shared" ref="AJ49:AK49" si="168">+AJ19/AJ44</f>
        <v>0.39713104482572759</v>
      </c>
      <c r="AK49" s="2">
        <f t="shared" si="168"/>
        <v>0.37157826151564555</v>
      </c>
      <c r="AL49" s="2">
        <f t="shared" ref="AL49:AP49" si="169">+AL19/AL44</f>
        <v>0.35438847945846197</v>
      </c>
      <c r="AM49" s="2">
        <f t="shared" si="169"/>
        <v>0.35779294844798398</v>
      </c>
      <c r="AN49" s="2">
        <f t="shared" si="169"/>
        <v>0.36737965912984261</v>
      </c>
      <c r="AO49" s="2">
        <f t="shared" si="169"/>
        <v>0.34059614691279394</v>
      </c>
      <c r="AP49" s="2">
        <f t="shared" si="169"/>
        <v>0.37619142395246397</v>
      </c>
      <c r="AR49" s="2">
        <f t="shared" ref="AR49:BC49" si="170">+AR19/AR44</f>
        <v>0.37780304042475388</v>
      </c>
      <c r="AS49" s="2">
        <f t="shared" si="170"/>
        <v>0.38562404749243079</v>
      </c>
      <c r="AT49" s="2">
        <f t="shared" si="170"/>
        <v>0.42904527358112293</v>
      </c>
      <c r="AU49" s="2">
        <f t="shared" si="170"/>
        <v>0.27149585556348371</v>
      </c>
      <c r="AV49" s="2">
        <f t="shared" si="170"/>
        <v>0.42551580699766955</v>
      </c>
      <c r="AW49" s="2">
        <f t="shared" si="170"/>
        <v>0.40684765367135539</v>
      </c>
      <c r="AX49" s="2">
        <f t="shared" si="170"/>
        <v>0.36694299373669231</v>
      </c>
      <c r="AY49" s="2">
        <f t="shared" si="170"/>
        <v>0.42758190781709882</v>
      </c>
      <c r="AZ49" s="2">
        <f t="shared" si="170"/>
        <v>0.4015232700564238</v>
      </c>
      <c r="BA49" s="2">
        <f t="shared" si="170"/>
        <v>0.44036315613658478</v>
      </c>
      <c r="BB49" s="2">
        <f t="shared" si="170"/>
        <v>0.42280544647627344</v>
      </c>
      <c r="BC49" s="2">
        <f t="shared" si="170"/>
        <v>0.41607467268283105</v>
      </c>
      <c r="BE49" s="2">
        <f t="shared" ref="BE49:BF49" si="171">+BE19/BE44/1000</f>
        <v>0.37894479982313206</v>
      </c>
      <c r="BF49" s="2">
        <f t="shared" si="171"/>
        <v>0.45525852921476162</v>
      </c>
      <c r="BG49" s="2">
        <f t="shared" ref="BG49:BH49" si="172">+BG19/BG44/1000</f>
        <v>0.40590331837912236</v>
      </c>
      <c r="BH49" s="2">
        <f t="shared" si="172"/>
        <v>0.37243584211131331</v>
      </c>
      <c r="BI49" s="2">
        <f t="shared" ref="BI49:BJ49" si="173">+BI19/BI44/1000</f>
        <v>0.41939046847726102</v>
      </c>
      <c r="BJ49" s="2">
        <f t="shared" si="173"/>
        <v>0.41341955306915174</v>
      </c>
      <c r="BK49" s="2">
        <f t="shared" ref="BK49:BL49" si="174">+BK19/BK44/1000</f>
        <v>0.40851432952697281</v>
      </c>
      <c r="BL49" s="2">
        <f t="shared" si="174"/>
        <v>0.38083066342508387</v>
      </c>
      <c r="BM49" s="2">
        <f t="shared" ref="BM49:BN49" si="175">+BM19/BM44/1000</f>
        <v>0.3946394128042594</v>
      </c>
      <c r="BN49" s="2">
        <f t="shared" si="175"/>
        <v>0.3870646236742491</v>
      </c>
      <c r="BO49" s="2">
        <f t="shared" ref="BO49:BP49" si="176">+BO19/BO44/1000</f>
        <v>0.40521950556405856</v>
      </c>
      <c r="BP49" s="2">
        <f t="shared" si="176"/>
        <v>0.39236519480439047</v>
      </c>
      <c r="BR49" s="2">
        <f t="shared" ref="BR49:BS49" si="177">+BR19/BR44/1000</f>
        <v>0.37152864476233372</v>
      </c>
      <c r="BS49" s="2">
        <f t="shared" si="177"/>
        <v>0.39689728968053539</v>
      </c>
      <c r="BT49" s="2">
        <f t="shared" ref="BT49" si="178">+BT19/BT44/1000</f>
        <v>0.42246218308446409</v>
      </c>
    </row>
    <row r="50" spans="3:72">
      <c r="E50" s="2">
        <f t="shared" ref="E50:AD50" si="179">+E28/E44</f>
        <v>0.17382750412331197</v>
      </c>
      <c r="F50" s="2">
        <f t="shared" si="179"/>
        <v>0.21667427547447399</v>
      </c>
      <c r="G50" s="2">
        <f t="shared" si="179"/>
        <v>0.13381932331306004</v>
      </c>
      <c r="H50" s="2">
        <f t="shared" si="179"/>
        <v>7.058973039060136E-2</v>
      </c>
      <c r="I50" s="2">
        <f t="shared" si="179"/>
        <v>7.058973039060136E-2</v>
      </c>
      <c r="J50" s="2">
        <f t="shared" si="179"/>
        <v>7.0589727380185846E-2</v>
      </c>
      <c r="K50" s="2">
        <f t="shared" si="179"/>
        <v>7.0589727380185832E-2</v>
      </c>
      <c r="L50" s="2">
        <f t="shared" si="179"/>
        <v>7.0589727380185846E-2</v>
      </c>
      <c r="M50" s="2">
        <f t="shared" si="179"/>
        <v>7.445336808653942E-2</v>
      </c>
      <c r="N50" s="2">
        <f t="shared" si="179"/>
        <v>0.1311185682247365</v>
      </c>
      <c r="O50" s="2">
        <f t="shared" si="179"/>
        <v>0.11802101925208315</v>
      </c>
      <c r="P50" s="2">
        <f t="shared" si="179"/>
        <v>0.12868389420385998</v>
      </c>
      <c r="Q50" s="2">
        <f t="shared" si="179"/>
        <v>9.7091577678639782E-2</v>
      </c>
      <c r="R50" s="2">
        <f t="shared" si="179"/>
        <v>0.12706972417743809</v>
      </c>
      <c r="S50" s="2">
        <f t="shared" si="179"/>
        <v>0.12690786545706301</v>
      </c>
      <c r="T50" s="2">
        <f t="shared" si="179"/>
        <v>0.13177591917746787</v>
      </c>
      <c r="U50" s="2">
        <f t="shared" si="179"/>
        <v>0.13027794694432035</v>
      </c>
      <c r="V50" s="2">
        <f t="shared" si="179"/>
        <v>0.12693537184327011</v>
      </c>
      <c r="W50" s="2">
        <f t="shared" si="179"/>
        <v>0.12949336970064002</v>
      </c>
      <c r="X50" s="2">
        <f t="shared" si="179"/>
        <v>0.12151407533084259</v>
      </c>
      <c r="Y50" s="2">
        <f t="shared" si="179"/>
        <v>0.12432681314688149</v>
      </c>
      <c r="Z50" s="2">
        <f t="shared" ref="Z50:AA50" si="180">+Z28/Z44</f>
        <v>0.11610339152966302</v>
      </c>
      <c r="AA50" s="2">
        <f t="shared" si="180"/>
        <v>0.11649109517076582</v>
      </c>
      <c r="AB50" s="2">
        <f t="shared" ref="AB50:AC50" si="181">+AB28/AB44</f>
        <v>0.12420704567977463</v>
      </c>
      <c r="AC50" s="2">
        <f t="shared" si="181"/>
        <v>0.13888675438918191</v>
      </c>
      <c r="AD50" s="2">
        <f t="shared" si="179"/>
        <v>0.12613860079263173</v>
      </c>
      <c r="AE50" s="2">
        <f t="shared" ref="AE50" si="182">+AE28/AE44</f>
        <v>0.12722765009198295</v>
      </c>
      <c r="AF50" s="2">
        <f t="shared" ref="AF50:AG50" si="183">+AF28/AF44</f>
        <v>0.13160276094346599</v>
      </c>
      <c r="AG50" s="2">
        <f t="shared" si="183"/>
        <v>0.13660315076577595</v>
      </c>
      <c r="AH50" s="2">
        <f t="shared" ref="AH50:AI50" si="184">+AH28/AH44</f>
        <v>0.14285441593870274</v>
      </c>
      <c r="AI50" s="2">
        <f t="shared" si="184"/>
        <v>0.13162449198814027</v>
      </c>
      <c r="AJ50" s="2">
        <f t="shared" ref="AJ50:AK50" si="185">+AJ28/AJ44</f>
        <v>0.13633842830851381</v>
      </c>
      <c r="AK50" s="2">
        <f t="shared" si="185"/>
        <v>0.133239401267954</v>
      </c>
      <c r="AL50" s="2">
        <f t="shared" ref="AL50:AP50" si="186">+AL28/AL44</f>
        <v>0.1433040538834027</v>
      </c>
      <c r="AM50" s="2">
        <f t="shared" si="186"/>
        <v>0.1439501948469365</v>
      </c>
      <c r="AN50" s="2">
        <f t="shared" si="186"/>
        <v>0.14486191939408471</v>
      </c>
      <c r="AO50" s="2">
        <f t="shared" si="186"/>
        <v>0.13825181213459459</v>
      </c>
      <c r="AP50" s="2">
        <f t="shared" si="186"/>
        <v>0.13655796459298214</v>
      </c>
      <c r="AR50" s="2">
        <f t="shared" ref="AR50:BC50" si="187">+AR28/AR44</f>
        <v>0.14806085011220518</v>
      </c>
      <c r="AS50" s="2">
        <f t="shared" si="187"/>
        <v>0.13976772506741073</v>
      </c>
      <c r="AT50" s="2">
        <f t="shared" si="187"/>
        <v>0.15570188734575152</v>
      </c>
      <c r="AU50" s="2">
        <f t="shared" si="187"/>
        <v>0.13507841439357798</v>
      </c>
      <c r="AV50" s="2">
        <f t="shared" si="187"/>
        <v>0.14722478238061457</v>
      </c>
      <c r="AW50" s="2">
        <f t="shared" si="187"/>
        <v>0.14089299361051974</v>
      </c>
      <c r="AX50" s="2">
        <f t="shared" si="187"/>
        <v>0.1391410250940813</v>
      </c>
      <c r="AY50" s="2">
        <f t="shared" si="187"/>
        <v>0.13843754216517995</v>
      </c>
      <c r="AZ50" s="2">
        <f t="shared" si="187"/>
        <v>0.13840877988091196</v>
      </c>
      <c r="BA50" s="2">
        <f t="shared" si="187"/>
        <v>0.13885500513738852</v>
      </c>
      <c r="BB50" s="2">
        <f t="shared" si="187"/>
        <v>0.13804587293917348</v>
      </c>
      <c r="BC50" s="2">
        <f t="shared" si="187"/>
        <v>0.13505359280132559</v>
      </c>
      <c r="BE50" s="2">
        <f t="shared" ref="BE50:BF50" si="188">+BE28/BE44/1000</f>
        <v>0.13611784035281119</v>
      </c>
      <c r="BF50" s="2">
        <f t="shared" si="188"/>
        <v>0.14245478669159059</v>
      </c>
      <c r="BG50" s="2">
        <f t="shared" ref="BG50:BH50" si="189">+BG28/BG44/1000</f>
        <v>0.14334583960949634</v>
      </c>
      <c r="BH50" s="2">
        <f t="shared" si="189"/>
        <v>0.13877246288632131</v>
      </c>
      <c r="BI50" s="2">
        <f t="shared" ref="BI50:BJ50" si="190">+BI28/BI44/1000</f>
        <v>0.1354993796667098</v>
      </c>
      <c r="BJ50" s="2">
        <f t="shared" si="190"/>
        <v>0.13568812715479311</v>
      </c>
      <c r="BK50" s="2">
        <f t="shared" ref="BK50:BL50" si="191">+BK28/BK44/1000</f>
        <v>0.13481882901787484</v>
      </c>
      <c r="BL50" s="2">
        <f t="shared" si="191"/>
        <v>0.12851973684003312</v>
      </c>
      <c r="BM50" s="2">
        <f t="shared" ref="BM50:BN50" si="192">+BM28/BM44/1000</f>
        <v>0.12988430406555498</v>
      </c>
      <c r="BN50" s="2">
        <f t="shared" si="192"/>
        <v>0.13540840690025549</v>
      </c>
      <c r="BO50" s="2">
        <f t="shared" ref="BO50:BP50" si="193">+BO28/BO44/1000</f>
        <v>0.12899564509335448</v>
      </c>
      <c r="BP50" s="2">
        <f t="shared" si="193"/>
        <v>0.13672152099359139</v>
      </c>
      <c r="BR50" s="2">
        <f t="shared" ref="BR50:BS50" si="194">+BR28/BR44/1000</f>
        <v>0.1324750683433695</v>
      </c>
      <c r="BS50" s="2">
        <f t="shared" si="194"/>
        <v>0.13709926958844193</v>
      </c>
      <c r="BT50" s="2">
        <f t="shared" ref="BT50" si="195">+BT28/BT44/1000</f>
        <v>0.14576955140560116</v>
      </c>
    </row>
    <row r="51" spans="3:72">
      <c r="E51" s="2">
        <f t="shared" ref="E51:AD51" si="196">+E31/E44</f>
        <v>0.1367234784536876</v>
      </c>
      <c r="F51" s="2">
        <f t="shared" si="196"/>
        <v>5.0782715182419287E-2</v>
      </c>
      <c r="G51" s="2">
        <f t="shared" si="196"/>
        <v>7.7232447505113863E-2</v>
      </c>
      <c r="H51" s="2">
        <f t="shared" si="196"/>
        <v>0.26177013947984412</v>
      </c>
      <c r="I51" s="2">
        <f t="shared" si="196"/>
        <v>0.26177013947984407</v>
      </c>
      <c r="J51" s="2">
        <f t="shared" si="196"/>
        <v>0.26177017096287447</v>
      </c>
      <c r="K51" s="2">
        <f t="shared" si="196"/>
        <v>0.26177017096287447</v>
      </c>
      <c r="L51" s="2">
        <f t="shared" si="196"/>
        <v>0.26177017096287447</v>
      </c>
      <c r="M51" s="2">
        <f t="shared" si="196"/>
        <v>0.15821285180607311</v>
      </c>
      <c r="N51" s="2">
        <f t="shared" si="196"/>
        <v>0.20887331084702221</v>
      </c>
      <c r="O51" s="2">
        <f t="shared" si="196"/>
        <v>0.22018596276292504</v>
      </c>
      <c r="P51" s="2">
        <f t="shared" si="196"/>
        <v>0.29572852947322187</v>
      </c>
      <c r="Q51" s="2">
        <f t="shared" si="196"/>
        <v>0.22778325321074003</v>
      </c>
      <c r="R51" s="2">
        <f t="shared" si="196"/>
        <v>0.27687901539085225</v>
      </c>
      <c r="S51" s="2">
        <f t="shared" si="196"/>
        <v>0.27267529094995274</v>
      </c>
      <c r="T51" s="2">
        <f t="shared" si="196"/>
        <v>0.22603338243812726</v>
      </c>
      <c r="U51" s="2">
        <f t="shared" si="196"/>
        <v>0.25539561968709135</v>
      </c>
      <c r="V51" s="2">
        <f t="shared" si="196"/>
        <v>0.29896989523309436</v>
      </c>
      <c r="W51" s="2">
        <f t="shared" si="196"/>
        <v>0.28664299759437728</v>
      </c>
      <c r="X51" s="2">
        <f t="shared" si="196"/>
        <v>0.33326847289096589</v>
      </c>
      <c r="Y51" s="2">
        <f t="shared" si="196"/>
        <v>0.29141644648122117</v>
      </c>
      <c r="Z51" s="2">
        <f t="shared" ref="Z51:AA51" si="197">+Z31/Z44</f>
        <v>0.32313801604779113</v>
      </c>
      <c r="AA51" s="2">
        <f t="shared" si="197"/>
        <v>0.33426859700167838</v>
      </c>
      <c r="AB51" s="2">
        <f t="shared" ref="AB51:AC51" si="198">+AB31/AB44</f>
        <v>0.3720264459871902</v>
      </c>
      <c r="AC51" s="2">
        <f t="shared" si="198"/>
        <v>0.34270017629753075</v>
      </c>
      <c r="AD51" s="2">
        <f t="shared" si="196"/>
        <v>0.30323357437787551</v>
      </c>
      <c r="AE51" s="2">
        <f t="shared" ref="AE51" si="199">+AE31/AE44</f>
        <v>0.40471496683582769</v>
      </c>
      <c r="AF51" s="2">
        <f t="shared" ref="AF51:AG51" si="200">+AF31/AF44</f>
        <v>0.3452003688952785</v>
      </c>
      <c r="AG51" s="2">
        <f t="shared" si="200"/>
        <v>0.34970677244462156</v>
      </c>
      <c r="AH51" s="2">
        <f t="shared" ref="AH51:AI51" si="201">+AH31/AH44</f>
        <v>0.36055700602598989</v>
      </c>
      <c r="AI51" s="2">
        <f t="shared" si="201"/>
        <v>0.33765432366635734</v>
      </c>
      <c r="AJ51" s="2">
        <f t="shared" ref="AJ51:AK51" si="202">+AJ31/AJ44</f>
        <v>0.33139321863943183</v>
      </c>
      <c r="AK51" s="2">
        <f t="shared" si="202"/>
        <v>0.37358792399769841</v>
      </c>
      <c r="AL51" s="2">
        <f t="shared" ref="AL51:AP51" si="203">+AL31/AL44</f>
        <v>0.36975201750083847</v>
      </c>
      <c r="AM51" s="2">
        <f t="shared" si="203"/>
        <v>0.37986352723800215</v>
      </c>
      <c r="AN51" s="2">
        <f t="shared" si="203"/>
        <v>0.35706020958305396</v>
      </c>
      <c r="AO51" s="2">
        <f t="shared" si="203"/>
        <v>0.38191816099876635</v>
      </c>
      <c r="AP51" s="2">
        <f t="shared" si="203"/>
        <v>0.36434354558577448</v>
      </c>
      <c r="AR51" s="2">
        <f t="shared" ref="AR51:BC51" si="204">+AR31/AR44</f>
        <v>0.34324241248742865</v>
      </c>
      <c r="AS51" s="2">
        <f t="shared" si="204"/>
        <v>0.34998230599767827</v>
      </c>
      <c r="AT51" s="2">
        <f t="shared" si="204"/>
        <v>0.28069520264148556</v>
      </c>
      <c r="AU51" s="2">
        <f t="shared" si="204"/>
        <v>0.43990726499978466</v>
      </c>
      <c r="AV51" s="2">
        <f t="shared" si="204"/>
        <v>0.30683753015526777</v>
      </c>
      <c r="AW51" s="2">
        <f t="shared" si="204"/>
        <v>0.32609486475280602</v>
      </c>
      <c r="AX51" s="2">
        <f t="shared" si="204"/>
        <v>0.36755196789447658</v>
      </c>
      <c r="AY51" s="2">
        <f t="shared" si="204"/>
        <v>0.30851667781034442</v>
      </c>
      <c r="AZ51" s="2">
        <f t="shared" si="204"/>
        <v>0.33607511062357243</v>
      </c>
      <c r="BA51" s="2">
        <f t="shared" si="204"/>
        <v>0.2995162221029265</v>
      </c>
      <c r="BB51" s="2">
        <f t="shared" si="204"/>
        <v>0.3289227003743716</v>
      </c>
      <c r="BC51" s="2">
        <f t="shared" si="204"/>
        <v>0.33709791775797326</v>
      </c>
      <c r="BE51" s="2">
        <f t="shared" ref="BE51" si="205">+BE31/BE44/1000</f>
        <v>0.3613452342180441</v>
      </c>
      <c r="BF51" s="2">
        <f t="shared" ref="BF51:BK51" si="206">+BF31/BF44/1000</f>
        <v>0.27496614405812325</v>
      </c>
      <c r="BG51" s="2">
        <f t="shared" si="206"/>
        <v>0.32717671601977188</v>
      </c>
      <c r="BH51" s="2">
        <f t="shared" si="206"/>
        <v>0.35757759780541826</v>
      </c>
      <c r="BI51" s="2">
        <f t="shared" si="206"/>
        <v>0.31461351320706926</v>
      </c>
      <c r="BJ51" s="2">
        <f t="shared" si="206"/>
        <v>0.33278639275429733</v>
      </c>
      <c r="BK51" s="2">
        <f t="shared" si="206"/>
        <v>0.34721029512882373</v>
      </c>
      <c r="BL51" s="2">
        <f t="shared" ref="BL51:BM51" si="207">+BL31/BL44/1000</f>
        <v>0.36996817319492348</v>
      </c>
      <c r="BM51" s="2">
        <f t="shared" si="207"/>
        <v>0.36321651102702612</v>
      </c>
      <c r="BN51" s="2">
        <f t="shared" ref="BN51:BO51" si="208">+BN31/BN44/1000</f>
        <v>0.34920879207349798</v>
      </c>
      <c r="BO51" s="2">
        <f t="shared" si="208"/>
        <v>0.36689183373192241</v>
      </c>
      <c r="BP51" s="2">
        <f t="shared" ref="BP51:BR51" si="209">+BP31/BP44/1000</f>
        <v>0.37073216077941668</v>
      </c>
      <c r="BR51" s="2">
        <f t="shared" si="209"/>
        <v>0.37788657335742737</v>
      </c>
      <c r="BS51" s="2">
        <f t="shared" ref="BS51:BT51" si="210">+BS31/BS44/1000</f>
        <v>0.35649370771507011</v>
      </c>
      <c r="BT51" s="2">
        <f t="shared" si="210"/>
        <v>0.32224012393238305</v>
      </c>
    </row>
    <row r="52" spans="3:72">
      <c r="F52" s="2"/>
      <c r="G52" s="2"/>
    </row>
    <row r="53" spans="3:72">
      <c r="C53" s="64" t="s">
        <v>55</v>
      </c>
      <c r="D53" s="64"/>
      <c r="E53" s="65"/>
      <c r="F53" s="65"/>
      <c r="G53" s="65"/>
      <c r="H53" s="65"/>
      <c r="I53" s="65"/>
      <c r="J53" s="65"/>
      <c r="K53" s="65"/>
      <c r="L53" s="65"/>
      <c r="M53" s="66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</row>
    <row r="54" spans="3:72">
      <c r="C54" s="38" t="s">
        <v>95</v>
      </c>
      <c r="D54" s="90" t="s">
        <v>99</v>
      </c>
      <c r="M54" s="2"/>
      <c r="R54" s="39">
        <v>7855000</v>
      </c>
      <c r="S54" s="39">
        <v>8041000</v>
      </c>
      <c r="T54" s="39">
        <v>9420000</v>
      </c>
      <c r="U54" s="39">
        <v>9652000</v>
      </c>
      <c r="V54" s="39">
        <v>9024000</v>
      </c>
      <c r="W54" s="39">
        <v>9102000</v>
      </c>
      <c r="X54" s="39">
        <v>9458477</v>
      </c>
      <c r="Y54" s="39">
        <v>8826164.9399999976</v>
      </c>
      <c r="Z54" s="39">
        <v>8451000</v>
      </c>
      <c r="AA54" s="39">
        <v>9620000</v>
      </c>
      <c r="AB54" s="39">
        <v>8490000</v>
      </c>
      <c r="AC54" s="39">
        <v>5791000</v>
      </c>
      <c r="AD54" s="46">
        <f>+SUM(R54:AC54)</f>
        <v>103730641.94</v>
      </c>
      <c r="AE54" s="39">
        <v>7473000</v>
      </c>
      <c r="AF54" s="39">
        <v>5919000</v>
      </c>
      <c r="AG54" s="39">
        <v>8954137.7701768335</v>
      </c>
      <c r="AH54" s="39">
        <f>8707*1000</f>
        <v>8707000</v>
      </c>
      <c r="AI54" s="39">
        <v>9401305.5674056131</v>
      </c>
      <c r="AJ54" s="39">
        <v>9457000</v>
      </c>
      <c r="AK54" s="39">
        <v>7286000</v>
      </c>
      <c r="AL54" s="39">
        <v>9827000</v>
      </c>
      <c r="AM54" s="39">
        <v>8314933</v>
      </c>
      <c r="AN54" s="39">
        <v>8731627</v>
      </c>
      <c r="AO54" s="39">
        <v>8727720.1700000055</v>
      </c>
      <c r="AP54" s="39">
        <v>7485000</v>
      </c>
      <c r="AQ54" s="46">
        <f>+SUM(AE54:AP54)</f>
        <v>100283723.50758244</v>
      </c>
      <c r="AR54" s="39">
        <v>9450000</v>
      </c>
      <c r="AS54" s="39">
        <v>9726000</v>
      </c>
      <c r="AT54" s="39">
        <v>10059000</v>
      </c>
      <c r="AU54" s="39">
        <v>9157000</v>
      </c>
      <c r="AV54" s="39">
        <v>9609000</v>
      </c>
      <c r="AW54" s="39">
        <v>9269000</v>
      </c>
      <c r="AX54" s="39">
        <v>9195000</v>
      </c>
      <c r="AY54" s="39">
        <v>9119000</v>
      </c>
      <c r="AZ54" s="39">
        <v>8875000</v>
      </c>
      <c r="BA54" s="39">
        <v>9114000</v>
      </c>
      <c r="BB54" s="39">
        <v>8384000</v>
      </c>
      <c r="BC54" s="39">
        <v>8551000</v>
      </c>
      <c r="BD54" s="46">
        <f>+SUM(AR54:BC54)</f>
        <v>110508000</v>
      </c>
      <c r="BE54" s="50">
        <v>9255000</v>
      </c>
      <c r="BF54" s="50">
        <v>8341000</v>
      </c>
      <c r="BG54" s="50">
        <v>9732000</v>
      </c>
      <c r="BH54" s="50">
        <v>9565000</v>
      </c>
      <c r="BI54" s="50">
        <v>10116000</v>
      </c>
      <c r="BJ54" s="50">
        <v>9124000</v>
      </c>
      <c r="BK54" s="50">
        <v>9699000</v>
      </c>
      <c r="BL54" s="50">
        <v>10403000</v>
      </c>
      <c r="BM54" s="50">
        <v>9702000</v>
      </c>
      <c r="BN54" s="50">
        <v>9516000</v>
      </c>
      <c r="BO54" s="50">
        <v>6428000</v>
      </c>
      <c r="BP54" s="50">
        <v>8591000</v>
      </c>
      <c r="BQ54" s="46">
        <f>+SUM(BE54:BP54)</f>
        <v>110472000</v>
      </c>
      <c r="BR54" s="50">
        <v>9060000</v>
      </c>
      <c r="BS54" s="50">
        <v>7729000</v>
      </c>
      <c r="BT54" s="50">
        <v>8557000</v>
      </c>
    </row>
    <row r="55" spans="3:72">
      <c r="C55" s="38" t="s">
        <v>97</v>
      </c>
      <c r="D55" s="90" t="s">
        <v>99</v>
      </c>
      <c r="M55" s="2"/>
      <c r="R55" s="39">
        <v>581000</v>
      </c>
      <c r="S55" s="39">
        <v>473000</v>
      </c>
      <c r="T55" s="39">
        <v>542000</v>
      </c>
      <c r="U55" s="39">
        <v>607000</v>
      </c>
      <c r="V55" s="39">
        <v>576000</v>
      </c>
      <c r="W55" s="39">
        <v>622583</v>
      </c>
      <c r="X55" s="39">
        <v>530735</v>
      </c>
      <c r="Y55" s="39">
        <v>580270.11780816072</v>
      </c>
      <c r="Z55" s="39">
        <v>525121.564034421</v>
      </c>
      <c r="AA55" s="39">
        <v>512000</v>
      </c>
      <c r="AB55" s="39">
        <v>501000</v>
      </c>
      <c r="AC55" s="39">
        <v>620000</v>
      </c>
      <c r="AD55" s="46">
        <f t="shared" ref="AD55:AD56" si="211">+SUM(R55:AC55)</f>
        <v>6670709.6818425814</v>
      </c>
      <c r="AE55" s="39">
        <v>489000</v>
      </c>
      <c r="AF55" s="39">
        <v>516000</v>
      </c>
      <c r="AG55" s="39">
        <v>579827.46434272465</v>
      </c>
      <c r="AH55" s="39">
        <f>501*1000</f>
        <v>501000</v>
      </c>
      <c r="AI55" s="39">
        <v>601900.66515115357</v>
      </c>
      <c r="AJ55" s="39">
        <v>498567</v>
      </c>
      <c r="AK55" s="39">
        <v>521000</v>
      </c>
      <c r="AL55" s="39">
        <v>469000</v>
      </c>
      <c r="AM55" s="39">
        <v>545319</v>
      </c>
      <c r="AN55" s="39">
        <v>535253</v>
      </c>
      <c r="AO55" s="39">
        <v>465383.48503137898</v>
      </c>
      <c r="AP55" s="39">
        <f>+AP17/AP61</f>
        <v>18813.06806734396</v>
      </c>
      <c r="AQ55" s="46">
        <f>+SUM(AE55:AP55)</f>
        <v>5741063.6825926015</v>
      </c>
      <c r="AR55" s="39">
        <v>574000</v>
      </c>
      <c r="AS55" s="39">
        <v>575000</v>
      </c>
      <c r="AT55" s="39">
        <v>628000</v>
      </c>
      <c r="AU55" s="39">
        <v>275000</v>
      </c>
      <c r="AV55" s="39">
        <v>610000</v>
      </c>
      <c r="AW55" s="39">
        <v>560000</v>
      </c>
      <c r="AX55" s="39">
        <v>473000</v>
      </c>
      <c r="AY55" s="39">
        <v>615000</v>
      </c>
      <c r="AZ55" s="39">
        <v>548000</v>
      </c>
      <c r="BA55" s="39">
        <v>632000</v>
      </c>
      <c r="BB55" s="39">
        <v>574000</v>
      </c>
      <c r="BC55" s="39">
        <v>604000</v>
      </c>
      <c r="BD55" s="46">
        <f>+SUM(AR55:BC55)</f>
        <v>6668000</v>
      </c>
      <c r="BE55" s="50">
        <v>507000</v>
      </c>
      <c r="BF55" s="50">
        <v>568000</v>
      </c>
      <c r="BG55" s="50">
        <v>611000</v>
      </c>
      <c r="BH55" s="50">
        <v>503000</v>
      </c>
      <c r="BI55" s="50">
        <v>604000</v>
      </c>
      <c r="BJ55" s="50">
        <v>579000</v>
      </c>
      <c r="BK55" s="50">
        <v>612000</v>
      </c>
      <c r="BL55" s="50">
        <v>556000</v>
      </c>
      <c r="BM55" s="50">
        <v>625000</v>
      </c>
      <c r="BN55" s="50">
        <v>528000</v>
      </c>
      <c r="BO55" s="50">
        <v>593000</v>
      </c>
      <c r="BP55" s="50">
        <v>609000</v>
      </c>
      <c r="BQ55" s="46">
        <f>+SUM(BE55:BP55)</f>
        <v>6895000</v>
      </c>
      <c r="BR55" s="50">
        <v>524000</v>
      </c>
      <c r="BS55" s="50">
        <v>543000</v>
      </c>
      <c r="BT55" s="50">
        <v>620000</v>
      </c>
    </row>
    <row r="56" spans="3:72">
      <c r="C56" s="38" t="s">
        <v>96</v>
      </c>
      <c r="D56" s="90" t="s">
        <v>99</v>
      </c>
      <c r="M56" s="2"/>
      <c r="R56" s="39">
        <v>590348.16940429679</v>
      </c>
      <c r="S56" s="39">
        <v>541752.16472534172</v>
      </c>
      <c r="T56" s="39">
        <v>380071.2189358155</v>
      </c>
      <c r="U56" s="39">
        <v>460841.76865664055</v>
      </c>
      <c r="V56" s="39">
        <v>579670.74723938247</v>
      </c>
      <c r="W56" s="39">
        <v>525632.38045828859</v>
      </c>
      <c r="X56" s="39">
        <v>613770.93339484872</v>
      </c>
      <c r="Y56" s="39">
        <v>502910.7148686524</v>
      </c>
      <c r="Z56" s="39">
        <v>668195.38497199712</v>
      </c>
      <c r="AA56" s="39">
        <v>693000</v>
      </c>
      <c r="AB56" s="39">
        <v>788000</v>
      </c>
      <c r="AC56" s="39">
        <v>795000</v>
      </c>
      <c r="AD56" s="46">
        <f t="shared" si="211"/>
        <v>7139193.4826552635</v>
      </c>
      <c r="AE56" s="39">
        <v>828000</v>
      </c>
      <c r="AF56" s="39">
        <v>649000</v>
      </c>
      <c r="AG56" s="39">
        <v>839037.1576846384</v>
      </c>
      <c r="AH56" s="39">
        <f>739*1000</f>
        <v>739000</v>
      </c>
      <c r="AI56" s="39">
        <v>745468.5462439945</v>
      </c>
      <c r="AJ56" s="39">
        <v>621568.84615384613</v>
      </c>
      <c r="AK56" s="39">
        <v>853000</v>
      </c>
      <c r="AL56" s="39">
        <v>809000</v>
      </c>
      <c r="AM56" s="39">
        <v>919665</v>
      </c>
      <c r="AN56" s="39">
        <v>813777</v>
      </c>
      <c r="AO56" s="39">
        <v>866416.63214974804</v>
      </c>
      <c r="AP56" s="39" t="e">
        <f>+AP30/#REF!</f>
        <v>#REF!</v>
      </c>
      <c r="AQ56" s="46" t="e">
        <f>+SUM(AE56:AP56)</f>
        <v>#REF!</v>
      </c>
      <c r="AR56" s="39">
        <v>794000</v>
      </c>
      <c r="AS56" s="39">
        <v>925000</v>
      </c>
      <c r="AT56" s="39">
        <v>667000</v>
      </c>
      <c r="AU56" s="39">
        <v>897000</v>
      </c>
      <c r="AV56" s="39">
        <v>760000</v>
      </c>
      <c r="AW56" s="39">
        <v>824000</v>
      </c>
      <c r="AX56" s="39">
        <v>847000</v>
      </c>
      <c r="AY56" s="39">
        <v>774000</v>
      </c>
      <c r="AZ56" s="39">
        <v>820000</v>
      </c>
      <c r="BA56" s="39">
        <v>792000</v>
      </c>
      <c r="BB56" s="39">
        <v>880000</v>
      </c>
      <c r="BC56" s="39">
        <v>934000</v>
      </c>
      <c r="BD56" s="46">
        <f>+SUM(AR56:BC56)</f>
        <v>9914000</v>
      </c>
      <c r="BE56" s="50">
        <v>989000</v>
      </c>
      <c r="BF56" s="50">
        <v>664000</v>
      </c>
      <c r="BG56" s="50">
        <v>958000</v>
      </c>
      <c r="BH56" s="50">
        <v>984000</v>
      </c>
      <c r="BI56" s="50">
        <v>863000</v>
      </c>
      <c r="BJ56" s="50">
        <v>972000</v>
      </c>
      <c r="BK56" s="50">
        <v>1039000</v>
      </c>
      <c r="BL56" s="50">
        <v>1018000</v>
      </c>
      <c r="BM56" s="50">
        <v>1013000</v>
      </c>
      <c r="BN56" s="50">
        <v>860000</v>
      </c>
      <c r="BO56" s="50">
        <v>986000</v>
      </c>
      <c r="BP56" s="50">
        <v>1003000</v>
      </c>
      <c r="BQ56" s="46">
        <f>+SUM(BE56:BP56)</f>
        <v>11349000</v>
      </c>
      <c r="BR56" s="50">
        <v>1035000</v>
      </c>
      <c r="BS56" s="50">
        <v>923000</v>
      </c>
      <c r="BT56" s="50">
        <v>842000</v>
      </c>
    </row>
    <row r="57" spans="3:72">
      <c r="C57" s="38" t="s">
        <v>98</v>
      </c>
      <c r="D57" s="91" t="s">
        <v>100</v>
      </c>
      <c r="M57" s="2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45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45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45"/>
      <c r="BE57" s="50">
        <v>595000</v>
      </c>
      <c r="BF57" s="50">
        <v>573000</v>
      </c>
      <c r="BG57" s="50">
        <v>667000</v>
      </c>
      <c r="BH57" s="50">
        <v>597000</v>
      </c>
      <c r="BI57" s="50">
        <v>648000</v>
      </c>
      <c r="BJ57" s="50">
        <v>635000</v>
      </c>
      <c r="BK57" s="50">
        <v>666000</v>
      </c>
      <c r="BL57" s="50">
        <v>615000</v>
      </c>
      <c r="BM57" s="50">
        <v>654000</v>
      </c>
      <c r="BN57" s="50">
        <v>626000</v>
      </c>
      <c r="BO57" s="50">
        <v>634000</v>
      </c>
      <c r="BP57" s="50">
        <v>661000</v>
      </c>
      <c r="BQ57" s="46">
        <f>+SUM(BE57:BP57)</f>
        <v>7571000</v>
      </c>
      <c r="BR57" s="50">
        <v>638000</v>
      </c>
      <c r="BS57" s="50">
        <v>609000</v>
      </c>
      <c r="BT57" s="50">
        <v>682000</v>
      </c>
    </row>
    <row r="58" spans="3:72">
      <c r="C58" s="64" t="s">
        <v>57</v>
      </c>
      <c r="D58" s="64"/>
      <c r="E58" s="65"/>
      <c r="F58" s="65"/>
      <c r="G58" s="65"/>
      <c r="H58" s="65"/>
      <c r="I58" s="65"/>
      <c r="J58" s="65"/>
      <c r="K58" s="65"/>
      <c r="L58" s="65"/>
      <c r="M58" s="66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</row>
    <row r="59" spans="3:72">
      <c r="C59" s="38" t="s">
        <v>95</v>
      </c>
      <c r="D59" s="90" t="s">
        <v>99</v>
      </c>
      <c r="M59" s="2"/>
      <c r="R59" s="39">
        <f>+(R14+R15)/R54</f>
        <v>0.30523169086640956</v>
      </c>
      <c r="S59" s="39">
        <f>+(S14+S15)/S54</f>
        <v>0.29886698235407222</v>
      </c>
      <c r="T59" s="39">
        <f>+(T14+T15)/T54</f>
        <v>0.31444192859237874</v>
      </c>
      <c r="U59" s="39">
        <f>+(U14+U15)/U54</f>
        <v>0.31223495318508115</v>
      </c>
      <c r="V59" s="39">
        <f>+(V14+V15)/V54</f>
        <v>0.33766519823196434</v>
      </c>
      <c r="W59" s="39">
        <f>+(W14+W15)/W54</f>
        <v>0.2898251887221901</v>
      </c>
      <c r="X59" s="39">
        <f>+(X14+X15)/X54</f>
        <v>0.30758539773415322</v>
      </c>
      <c r="Y59" s="39">
        <f>+(Y14+Y15)/Y54</f>
        <v>0.32186465978247175</v>
      </c>
      <c r="Z59" s="39">
        <f>+(Z14+Z15)/Z54</f>
        <v>0.31426919210326437</v>
      </c>
      <c r="AA59" s="39">
        <f>+(AA14+AA15)/AA54</f>
        <v>0.31938934781686296</v>
      </c>
      <c r="AB59" s="39">
        <f>+(AB14+AB15)/AB54</f>
        <v>0.3103632099840779</v>
      </c>
      <c r="AC59" s="39">
        <f>+(AC14+AC15)/AC54</f>
        <v>0.4627169314453462</v>
      </c>
      <c r="AD59" s="47">
        <f>+(AD14+AD15)/AD54</f>
        <v>0.32058714690116691</v>
      </c>
      <c r="AE59" s="39">
        <f>+(AE14+AE15)/AE54</f>
        <v>0.31781674478471683</v>
      </c>
      <c r="AF59" s="39">
        <f>+(AF14+AF15)/AF54</f>
        <v>0.43180067725863175</v>
      </c>
      <c r="AG59" s="39">
        <f>+(AG14+AG15)/AG54</f>
        <v>0.33069532073380076</v>
      </c>
      <c r="AH59" s="39">
        <f>+(AH14+AH15)/AH54</f>
        <v>0.29364078644233993</v>
      </c>
      <c r="AI59" s="39">
        <f>+(AI14+AI15)/AI54</f>
        <v>0.34374635344809384</v>
      </c>
      <c r="AJ59" s="39">
        <f>+(AJ14+AJ15)/AJ54</f>
        <v>0.32579018290943251</v>
      </c>
      <c r="AK59" s="39">
        <f>+(AK14+AK15)/AK54</f>
        <v>0.45167409465613556</v>
      </c>
      <c r="AL59" s="39">
        <v>0.3329454775164909</v>
      </c>
      <c r="AM59" s="39">
        <v>0.38927509818780265</v>
      </c>
      <c r="AN59" s="39">
        <v>0.3772058517845529</v>
      </c>
      <c r="AO59" s="49">
        <v>0.38134658137189081</v>
      </c>
      <c r="AP59" s="49">
        <v>0.45136830460921845</v>
      </c>
      <c r="AQ59" s="47">
        <f>+(AQ14+AQ15)/AQ54</f>
        <v>0.36303759339883951</v>
      </c>
      <c r="AR59" s="49">
        <v>0.35003577883597897</v>
      </c>
      <c r="AS59" s="49">
        <v>0.33471084057847234</v>
      </c>
      <c r="AT59" s="49">
        <v>0.34051797315836563</v>
      </c>
      <c r="AU59" s="49">
        <v>0.33318995566726312</v>
      </c>
      <c r="AV59" s="49">
        <v>0.32902534186699972</v>
      </c>
      <c r="AW59" s="49">
        <v>0.35332940770309634</v>
      </c>
      <c r="AX59" s="49">
        <v>0.33730229323703231</v>
      </c>
      <c r="AY59" s="49">
        <v>0.36600341393009983</v>
      </c>
      <c r="AZ59" s="49">
        <v>0.36070301874470989</v>
      </c>
      <c r="BA59" s="49">
        <v>0.35029786654823353</v>
      </c>
      <c r="BB59" s="49">
        <v>0.34155258617806772</v>
      </c>
      <c r="BC59" s="49">
        <v>0.35149785763731722</v>
      </c>
      <c r="BD59" s="47">
        <f>+(BD14+BD15)/BD54</f>
        <v>0.3368974975717261</v>
      </c>
      <c r="BE59" s="49">
        <v>0.33586368770275521</v>
      </c>
      <c r="BF59" s="49">
        <v>0.35049116326037155</v>
      </c>
      <c r="BG59" s="49">
        <v>0.34572294753531435</v>
      </c>
      <c r="BH59" s="49">
        <v>0.35419202936930011</v>
      </c>
      <c r="BI59" s="39">
        <f>+(BI14+BI15)/BI54</f>
        <v>0.36797337679046604</v>
      </c>
      <c r="BJ59" s="39">
        <f>+(BJ14+BJ15)/BJ54</f>
        <v>0.35989778658472504</v>
      </c>
      <c r="BK59" s="39">
        <f>+(BK14+BK15)/BK54</f>
        <v>0.32734558883555004</v>
      </c>
      <c r="BL59" s="39">
        <f>+(BL14+BL15)/BL54</f>
        <v>0.33298891966988658</v>
      </c>
      <c r="BM59" s="39">
        <f>+(BM14+BM15)/BM54</f>
        <v>0.34929887552994232</v>
      </c>
      <c r="BN59" s="39">
        <f>+(BN14+BN15)/BN54</f>
        <v>0.36212209398621542</v>
      </c>
      <c r="BO59" s="39">
        <f>+(BO14+BO15)/BO54</f>
        <v>0.43656282514001243</v>
      </c>
      <c r="BP59" s="39">
        <f>+(BP14+BP15)/BP54</f>
        <v>0.3237395437085322</v>
      </c>
      <c r="BQ59" s="47">
        <f>+(BQ14+BQ15)/BQ54</f>
        <v>0.3512562583463002</v>
      </c>
      <c r="BR59" s="39">
        <f>+(BR14+BR15)/BR54</f>
        <v>0.36057627676600446</v>
      </c>
      <c r="BS59" s="39">
        <f>+(BS14+BS15)/BS54</f>
        <v>0.37099990695562174</v>
      </c>
      <c r="BT59" s="39">
        <f>+(BT14+BT15)/BT54</f>
        <v>0.35016780152623583</v>
      </c>
    </row>
    <row r="60" spans="3:72">
      <c r="C60" s="38" t="s">
        <v>97</v>
      </c>
      <c r="D60" s="90" t="s">
        <v>99</v>
      </c>
      <c r="M60" s="2"/>
      <c r="R60" s="39">
        <f>+R19/R55</f>
        <v>23.346727198407972</v>
      </c>
      <c r="S60" s="39">
        <f>+S19/S55</f>
        <v>23.671917523783677</v>
      </c>
      <c r="T60" s="39">
        <f>+T19/T55</f>
        <v>23.130714669321794</v>
      </c>
      <c r="U60" s="39">
        <f>+U19/U55</f>
        <v>22.246856927641115</v>
      </c>
      <c r="V60" s="39">
        <f>+V19/V55</f>
        <v>21.755758354523181</v>
      </c>
      <c r="W60" s="39">
        <f>+W19/W55</f>
        <v>21.922931991894309</v>
      </c>
      <c r="X60" s="39">
        <f>+X19/X55</f>
        <v>22.410377288688363</v>
      </c>
      <c r="Y60" s="39">
        <f>+Y19/Y55</f>
        <v>23.495884673586573</v>
      </c>
      <c r="Z60" s="39">
        <f>+Z19/Z55</f>
        <v>25.633066850975215</v>
      </c>
      <c r="AA60" s="39">
        <f>+AA19/AA55</f>
        <v>25.74415326666303</v>
      </c>
      <c r="AB60" s="39">
        <f>+AB19/AB55</f>
        <v>22.415072214197874</v>
      </c>
      <c r="AC60" s="39">
        <f>+AC19/AC55</f>
        <v>21.923049919354835</v>
      </c>
      <c r="AD60" s="47">
        <f>+AD19/AD55</f>
        <v>23.08206773141238</v>
      </c>
      <c r="AE60" s="39">
        <f>+AE19/AE55</f>
        <v>22.5258772069248</v>
      </c>
      <c r="AF60" s="39">
        <f>+AF19/AF55</f>
        <v>22.114652218990276</v>
      </c>
      <c r="AG60" s="39">
        <f>+AG19/AG55</f>
        <v>22.478024525284926</v>
      </c>
      <c r="AH60" s="39">
        <f>+AH19/AH55</f>
        <v>22.079634215681494</v>
      </c>
      <c r="AI60" s="39">
        <f>+AI19/AI55</f>
        <v>21.076252338719566</v>
      </c>
      <c r="AJ60" s="39">
        <f>+AJ19/AJ55</f>
        <v>22.498171212932853</v>
      </c>
      <c r="AK60" s="39">
        <f>+AK19/AK55</f>
        <v>23.89549366637733</v>
      </c>
      <c r="AL60" s="39">
        <v>23.256397563371387</v>
      </c>
      <c r="AM60" s="39">
        <v>22.181547601721213</v>
      </c>
      <c r="AN60" s="39">
        <v>21.422700539746252</v>
      </c>
      <c r="AO60" s="49">
        <v>21.494003897575936</v>
      </c>
      <c r="AP60" s="49">
        <v>20.257896249297424</v>
      </c>
      <c r="AQ60" s="47">
        <f>+AQ19/AQ55</f>
        <v>24.326855750617998</v>
      </c>
      <c r="AR60" s="49">
        <v>19.84930868507854</v>
      </c>
      <c r="AS60" s="49">
        <v>20.970069900016338</v>
      </c>
      <c r="AT60" s="49">
        <v>20.9118767971019</v>
      </c>
      <c r="AU60" s="49">
        <v>23.752581828290531</v>
      </c>
      <c r="AV60" s="49">
        <v>21.83699637435814</v>
      </c>
      <c r="AW60" s="49">
        <v>22.023315858027775</v>
      </c>
      <c r="AX60" s="49">
        <v>22.585902557794608</v>
      </c>
      <c r="AY60" s="49">
        <v>21.828407588348714</v>
      </c>
      <c r="AZ60" s="49">
        <v>22.376846695780696</v>
      </c>
      <c r="BA60" s="49">
        <v>21.88344591098603</v>
      </c>
      <c r="BB60" s="49">
        <v>23.146350439404877</v>
      </c>
      <c r="BC60" s="49">
        <v>22.430517266404717</v>
      </c>
      <c r="BD60" s="47">
        <f>+BD19/BD55</f>
        <v>21.866230749968132</v>
      </c>
      <c r="BE60" s="49">
        <f>+BE19/BE55</f>
        <v>22.716735439483099</v>
      </c>
      <c r="BF60" s="49">
        <f>+BF19/BF55</f>
        <v>22.168988855799594</v>
      </c>
      <c r="BG60" s="49">
        <f>+BG19/BG55</f>
        <v>21.716425740308321</v>
      </c>
      <c r="BH60" s="49">
        <f>+BH19/BH55</f>
        <v>22.598589673391075</v>
      </c>
      <c r="BI60" s="49">
        <f>+BI19/BI55</f>
        <v>23.031481056439315</v>
      </c>
      <c r="BJ60" s="49">
        <f>+BJ19/BJ55</f>
        <v>23.440221451780054</v>
      </c>
      <c r="BK60" s="49">
        <f>+BK19/BK55</f>
        <v>23.073908487420809</v>
      </c>
      <c r="BL60" s="49">
        <f>+BL19/BL55</f>
        <v>23.164731619080182</v>
      </c>
      <c r="BM60" s="49">
        <f>+BM19/BM55</f>
        <v>22.464493637295206</v>
      </c>
      <c r="BN60" s="49">
        <f>+BN19/BN55</f>
        <v>23.388294813445615</v>
      </c>
      <c r="BO60" s="49">
        <f>+BO19/BO55</f>
        <v>23.713155463743679</v>
      </c>
      <c r="BP60" s="49">
        <f>+BP19/BP55</f>
        <v>22.087775582922824</v>
      </c>
      <c r="BQ60" s="47">
        <f>+BQ19/BQ55</f>
        <v>22.789210664096466</v>
      </c>
      <c r="BR60" s="49">
        <f>+BR19/BR55</f>
        <v>23.657392621715413</v>
      </c>
      <c r="BS60" s="49">
        <f>+BS19/BS55</f>
        <v>23.345130604200371</v>
      </c>
      <c r="BT60" s="49">
        <f>+BT19/BT55</f>
        <v>22.937801198727659</v>
      </c>
    </row>
    <row r="61" spans="3:72">
      <c r="C61" s="38" t="s">
        <v>96</v>
      </c>
      <c r="D61" s="90" t="s">
        <v>99</v>
      </c>
      <c r="M61" s="2"/>
      <c r="R61" s="39">
        <f>+R32/R56</f>
        <v>7.5023159063474152</v>
      </c>
      <c r="S61" s="39">
        <f>+S32/S56</f>
        <v>6.8909566636530988</v>
      </c>
      <c r="T61" s="39">
        <f>+T32/T56</f>
        <v>8.9116651007555276</v>
      </c>
      <c r="U61" s="39">
        <f>+U32/U56</f>
        <v>8.2720932872575368</v>
      </c>
      <c r="V61" s="39">
        <f>+V32/V56</f>
        <v>7.7664265853321144</v>
      </c>
      <c r="W61" s="39">
        <f>+W32/W56</f>
        <v>8.234071610210016</v>
      </c>
      <c r="X61" s="39">
        <f>+X32/X56</f>
        <v>7.5859844477899703</v>
      </c>
      <c r="Y61" s="39">
        <f>+Y32/Y56</f>
        <v>7.5696159876576026</v>
      </c>
      <c r="Z61" s="39">
        <f>+Z32/Z56</f>
        <v>6.8628564305658566</v>
      </c>
      <c r="AA61" s="39">
        <f>+AA32/AA56</f>
        <v>7.0335835602890668</v>
      </c>
      <c r="AB61" s="39">
        <f>+AB32/AB56</f>
        <v>6.6088056147267151</v>
      </c>
      <c r="AC61" s="39">
        <f>+AC32/AC56</f>
        <v>6.5760738113207546</v>
      </c>
      <c r="AD61" s="47">
        <f>+AD32/AD56</f>
        <v>7.3607817759874585</v>
      </c>
      <c r="AE61" s="39">
        <f>+AE32/AE56</f>
        <v>6.8133686642594382</v>
      </c>
      <c r="AF61" s="39">
        <f>+AF32/AF56</f>
        <v>7.0619352970130151</v>
      </c>
      <c r="AG61" s="39">
        <f>+AG32/AG56</f>
        <v>6.5983717166640501</v>
      </c>
      <c r="AH61" s="39">
        <f>+AH32/AH56</f>
        <v>6.6334963557506281</v>
      </c>
      <c r="AI61" s="39">
        <f>+AI32/AI56</f>
        <v>6.812194641424016</v>
      </c>
      <c r="AJ61" s="39">
        <f>+AJ32/AJ56</f>
        <v>7.315902958456042</v>
      </c>
      <c r="AK61" s="39">
        <f>+AK32/AK56</f>
        <v>7.0359150759567157</v>
      </c>
      <c r="AL61" s="39">
        <v>7.0418136640642741</v>
      </c>
      <c r="AM61" s="39">
        <v>6.6850836482599556</v>
      </c>
      <c r="AN61" s="39">
        <v>6.8400874293561991</v>
      </c>
      <c r="AO61" s="49">
        <v>6.4670870467542398</v>
      </c>
      <c r="AP61" s="49">
        <v>6.4812586423185392</v>
      </c>
      <c r="AQ61" s="47" t="e">
        <f>+AQ32/AQ56</f>
        <v>#REF!</v>
      </c>
      <c r="AR61" s="49">
        <v>6.5883025878651367</v>
      </c>
      <c r="AS61" s="49">
        <v>6.0306144898469185</v>
      </c>
      <c r="AT61" s="49">
        <v>6.7768314092953519</v>
      </c>
      <c r="AU61" s="49">
        <v>6.1731217866519419</v>
      </c>
      <c r="AV61" s="49">
        <v>6.6028445416335995</v>
      </c>
      <c r="AW61" s="49">
        <v>6.3881103513403472</v>
      </c>
      <c r="AX61" s="49">
        <v>6.4198742035893082</v>
      </c>
      <c r="AY61" s="49">
        <v>6.3391609547545906</v>
      </c>
      <c r="AZ61" s="49">
        <v>6.3921482827800054</v>
      </c>
      <c r="BA61" s="49">
        <v>6.357860808667434</v>
      </c>
      <c r="BB61" s="49">
        <v>6.1190866859450033</v>
      </c>
      <c r="BC61" s="49">
        <v>6.0117161963124737</v>
      </c>
      <c r="BD61" s="47">
        <f>+BD32/BD56</f>
        <v>6.3314204987288631</v>
      </c>
      <c r="BE61" s="49">
        <f>+BE31/BE56</f>
        <v>11.104626797819076</v>
      </c>
      <c r="BF61" s="49">
        <f>+BF31/BF56</f>
        <v>11.453738772727771</v>
      </c>
      <c r="BG61" s="49">
        <f>+BG31/BG56</f>
        <v>11.164103021940797</v>
      </c>
      <c r="BH61" s="49">
        <f>+BH31/BH56</f>
        <v>11.09106003863101</v>
      </c>
      <c r="BI61" s="49">
        <f>+BI31/BI56</f>
        <v>12.092241881712292</v>
      </c>
      <c r="BJ61" s="49">
        <f>+BJ31/BJ56</f>
        <v>11.239540490705091</v>
      </c>
      <c r="BK61" s="49">
        <f>+BK31/BK56</f>
        <v>11.551605249969652</v>
      </c>
      <c r="BL61" s="49">
        <f>+BL31/BL56</f>
        <v>12.290986519952277</v>
      </c>
      <c r="BM61" s="49">
        <f>+BM31/BM56</f>
        <v>12.756523454600691</v>
      </c>
      <c r="BN61" s="49">
        <f>+BN31/BN56</f>
        <v>12.954949373101945</v>
      </c>
      <c r="BO61" s="49">
        <f>+BO31/BO56</f>
        <v>12.912633661257608</v>
      </c>
      <c r="BP61" s="49">
        <f>+BP31/BP56</f>
        <v>12.671794675972084</v>
      </c>
      <c r="BQ61" s="47">
        <f>+BQ32/BQ56</f>
        <v>5.6423196662897217</v>
      </c>
      <c r="BR61" s="49">
        <f>+BR31/BR56</f>
        <v>12.182234992604949</v>
      </c>
      <c r="BS61" s="49">
        <f>+BS31/BS56</f>
        <v>12.335824213610181</v>
      </c>
      <c r="BT61" s="49">
        <f>+BT31/BT56</f>
        <v>12.883182512480229</v>
      </c>
    </row>
    <row r="62" spans="3:72">
      <c r="C62" s="38" t="s">
        <v>98</v>
      </c>
      <c r="D62" s="91" t="s">
        <v>100</v>
      </c>
      <c r="M62" s="2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47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49"/>
      <c r="AP62" s="49"/>
      <c r="AQ62" s="47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7"/>
      <c r="BE62" s="49">
        <f>+BE28/BE57</f>
        <v>6.9530605608403357</v>
      </c>
      <c r="BF62" s="49">
        <f>+BF28/BF57</f>
        <v>6.876359195995188</v>
      </c>
      <c r="BG62" s="49">
        <f>+BG28/BG57</f>
        <v>7.0253216746049327</v>
      </c>
      <c r="BH62" s="49">
        <f>+BH28/BH57</f>
        <v>7.0945820724699331</v>
      </c>
      <c r="BI62" s="49">
        <f>+BI28/BI57</f>
        <v>6.9358956438613086</v>
      </c>
      <c r="BJ62" s="49">
        <f>+BJ28/BJ57</f>
        <v>7.0148337658267721</v>
      </c>
      <c r="BK62" s="49">
        <f>+BK28/BK57</f>
        <v>6.997479174024023</v>
      </c>
      <c r="BL62" s="49">
        <f>+BL28/BL57</f>
        <v>7.0674845383739813</v>
      </c>
      <c r="BM62" s="49">
        <f>+BM28/BM57</f>
        <v>7.0656987688073372</v>
      </c>
      <c r="BN62" s="49">
        <f>+BN28/BN57</f>
        <v>6.9011314109287722</v>
      </c>
      <c r="BO62" s="49">
        <f>+BO28/BO57</f>
        <v>7.0605655678233443</v>
      </c>
      <c r="BP62" s="49">
        <f>+BP28/BP57</f>
        <v>7.09110995461422</v>
      </c>
      <c r="BQ62" s="47"/>
      <c r="BR62" s="49">
        <f>+BR28/BR57</f>
        <v>6.9281827467084645</v>
      </c>
      <c r="BS62" s="49">
        <f>+BS28/BS57</f>
        <v>7.1901152663382595</v>
      </c>
      <c r="BT62" s="49">
        <f>+BT28/BT57</f>
        <v>7.1951205980938413</v>
      </c>
    </row>
    <row r="63" spans="3:72">
      <c r="C63" s="35"/>
      <c r="D63" s="35"/>
      <c r="J63" s="1"/>
      <c r="L63" s="1"/>
      <c r="M63" s="1"/>
      <c r="N63" s="1"/>
      <c r="O63" s="1"/>
      <c r="P63" s="1"/>
      <c r="BE63" s="60"/>
      <c r="BF63" s="60"/>
      <c r="BG63" s="60"/>
      <c r="BH63" s="61"/>
      <c r="BI63" s="61"/>
      <c r="BJ63" s="61"/>
      <c r="BK63" s="61"/>
      <c r="BL63" s="61"/>
      <c r="BM63" s="61"/>
      <c r="BN63" s="61"/>
      <c r="BO63" s="61"/>
      <c r="BP63" s="61"/>
      <c r="BR63" s="61"/>
      <c r="BS63" s="61"/>
      <c r="BT63" s="61"/>
    </row>
    <row r="64" spans="3:72">
      <c r="C64" s="34" t="s">
        <v>58</v>
      </c>
      <c r="D64" s="34"/>
      <c r="E64" s="30">
        <v>150519.62016474467</v>
      </c>
      <c r="F64" s="30">
        <v>425336.34226513281</v>
      </c>
      <c r="G64" s="30">
        <v>860529.96536987764</v>
      </c>
      <c r="H64" s="30">
        <v>1308413.1374894516</v>
      </c>
      <c r="I64" s="30">
        <v>1051689.9894329763</v>
      </c>
      <c r="J64" s="30">
        <v>1367961.8379668905</v>
      </c>
      <c r="K64" s="30">
        <v>1214632.6674480711</v>
      </c>
      <c r="L64" s="30">
        <v>1351251.6287028878</v>
      </c>
      <c r="M64" s="30">
        <v>1340519.0596518375</v>
      </c>
      <c r="N64" s="30">
        <v>1506897.3155511022</v>
      </c>
      <c r="O64" s="30">
        <v>1453492.8450909983</v>
      </c>
      <c r="P64" s="30">
        <v>1463218.8800550275</v>
      </c>
      <c r="Q64" s="31">
        <f>+SUM(E64:P64)</f>
        <v>13494463.289188996</v>
      </c>
      <c r="R64" s="30">
        <v>1956975.0366094643</v>
      </c>
      <c r="S64" s="30">
        <v>1784300.8813407822</v>
      </c>
      <c r="T64" s="30">
        <v>1748101.9632937047</v>
      </c>
      <c r="U64" s="30">
        <v>1926930.7768110624</v>
      </c>
      <c r="V64" s="30">
        <v>1906401.0340922582</v>
      </c>
      <c r="W64" s="30">
        <v>1903638.6264229764</v>
      </c>
      <c r="X64" s="30">
        <v>1541752.0633121019</v>
      </c>
      <c r="Y64" s="30">
        <v>2170451.0909072007</v>
      </c>
      <c r="Z64" s="30">
        <v>2083876.5193975901</v>
      </c>
      <c r="AA64" s="30">
        <v>2162293.8868695213</v>
      </c>
      <c r="AB64" s="30">
        <v>2266571.5914426567</v>
      </c>
      <c r="AC64" s="30">
        <v>2194923.6479581147</v>
      </c>
      <c r="AD64" s="31">
        <f>+SUM(R64:AC64)</f>
        <v>23646217.118457433</v>
      </c>
      <c r="AE64" s="30">
        <v>2252936.9895247985</v>
      </c>
      <c r="AF64" s="30">
        <v>2142476.4663779526</v>
      </c>
      <c r="AG64" s="30">
        <v>2318866.36</v>
      </c>
      <c r="AH64" s="30">
        <v>2220650.91</v>
      </c>
      <c r="AI64" s="30"/>
      <c r="AJ64" s="30"/>
      <c r="AK64" s="30"/>
      <c r="AL64" s="30"/>
      <c r="AM64" s="30"/>
      <c r="AN64" s="30"/>
      <c r="AO64" s="30"/>
      <c r="AP64" s="30"/>
      <c r="AQ64" s="31">
        <f>+SUM(AE64:AF64)</f>
        <v>4395413.4559027515</v>
      </c>
      <c r="AR64" s="30">
        <v>2252936.9895247985</v>
      </c>
      <c r="AS64" s="30">
        <v>2142476.4663779526</v>
      </c>
      <c r="AT64" s="30">
        <v>2318866.36</v>
      </c>
      <c r="AU64" s="30">
        <v>2220650.91</v>
      </c>
      <c r="AV64" s="30"/>
      <c r="AW64" s="30"/>
      <c r="AX64" s="30"/>
      <c r="AY64" s="30"/>
      <c r="AZ64" s="30"/>
      <c r="BA64" s="30"/>
      <c r="BB64" s="30"/>
      <c r="BC64" s="30"/>
      <c r="BD64" s="31">
        <f>+SUM(AR64:AS64)</f>
        <v>4395413.4559027515</v>
      </c>
      <c r="BE64" s="62">
        <v>2426385.1204291848</v>
      </c>
      <c r="BF64" s="62">
        <v>1979817.7367092043</v>
      </c>
      <c r="BG64" s="62">
        <v>2485668.332202883</v>
      </c>
      <c r="BH64" s="62">
        <v>2398837.2411963027</v>
      </c>
      <c r="BI64" s="62">
        <v>2513175.271475771</v>
      </c>
      <c r="BJ64" s="62">
        <v>2584533.1732347137</v>
      </c>
      <c r="BK64" s="62">
        <v>2656928.2058751397</v>
      </c>
      <c r="BL64" s="62">
        <v>2538401.6529378528</v>
      </c>
      <c r="BM64" s="62">
        <v>2755517.8054430378</v>
      </c>
      <c r="BN64" s="62">
        <v>2481565.5064220182</v>
      </c>
      <c r="BO64" s="62">
        <v>2787533</v>
      </c>
      <c r="BP64" s="62">
        <v>2800257</v>
      </c>
      <c r="BQ64" s="31">
        <f>+SUM(BE64:BF64)</f>
        <v>4406202.8571383888</v>
      </c>
      <c r="BR64" s="62">
        <v>2772152.1273919521</v>
      </c>
      <c r="BS64" s="62">
        <v>2600528.1478101755</v>
      </c>
      <c r="BT64" s="62">
        <v>2811080.3650643779</v>
      </c>
    </row>
    <row r="65" spans="1:72">
      <c r="C65" s="27" t="s">
        <v>2</v>
      </c>
      <c r="D65" s="27"/>
      <c r="E65" s="28"/>
      <c r="F65" s="28"/>
      <c r="G65" s="29"/>
      <c r="H65" s="29"/>
      <c r="I65" s="28"/>
      <c r="J65" s="28"/>
      <c r="K65" s="28"/>
      <c r="L65" s="28"/>
      <c r="M65" s="29"/>
      <c r="N65" s="28"/>
      <c r="O65" s="28"/>
      <c r="P65" s="28"/>
      <c r="Q65" s="32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32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32"/>
      <c r="BH65" s="59"/>
      <c r="BI65" s="59"/>
      <c r="BJ65" s="59"/>
      <c r="BK65" s="59"/>
      <c r="BL65" s="59"/>
      <c r="BM65" s="59"/>
      <c r="BN65" s="59"/>
      <c r="BO65" s="59"/>
      <c r="BP65" s="59"/>
      <c r="BQ65" s="32"/>
      <c r="BR65" s="59"/>
      <c r="BS65" s="59"/>
      <c r="BT65" s="59"/>
    </row>
    <row r="66" spans="1:72" s="55" customFormat="1" ht="13.8">
      <c r="A66" s="9" t="str">
        <f>+C66</f>
        <v>G&amp;A</v>
      </c>
      <c r="C66" s="56" t="s">
        <v>59</v>
      </c>
      <c r="D66" s="56"/>
      <c r="E66" s="57">
        <f>+E64*E46</f>
        <v>22811.116730480033</v>
      </c>
      <c r="F66" s="57">
        <f>+F64*F46</f>
        <v>45124.8926874342</v>
      </c>
      <c r="G66" s="57">
        <f>+G64*G46</f>
        <v>31437.821409905271</v>
      </c>
      <c r="H66" s="57">
        <f>+H64*H46</f>
        <v>34117.408456484358</v>
      </c>
      <c r="I66" s="57">
        <f>+I64*I46</f>
        <v>27423.247222913058</v>
      </c>
      <c r="J66" s="57">
        <f>+J64*J46</f>
        <v>35670.163690022266</v>
      </c>
      <c r="K66" s="57">
        <f>+K64*K46</f>
        <v>31672.042939087976</v>
      </c>
      <c r="L66" s="57">
        <f>+L64*L46</f>
        <v>35234.438157921613</v>
      </c>
      <c r="M66" s="57">
        <f>+M64*M46</f>
        <v>37755.160510229915</v>
      </c>
      <c r="N66" s="57">
        <f>+N64*N46</f>
        <v>22212.301731257106</v>
      </c>
      <c r="O66" s="57">
        <f>+O64*O46</f>
        <v>38797.383076595317</v>
      </c>
      <c r="P66" s="57">
        <f>+P64*P46</f>
        <v>30050.496709243522</v>
      </c>
      <c r="Q66" s="58">
        <f>+Q64*Q46</f>
        <v>385976.39214840479</v>
      </c>
      <c r="R66" s="57">
        <f>+R64*R46</f>
        <v>34666.855360714857</v>
      </c>
      <c r="S66" s="57">
        <f>+S64*S46</f>
        <v>35254.491670652627</v>
      </c>
      <c r="T66" s="57">
        <f>+T64*T46</f>
        <v>35929.62535740107</v>
      </c>
      <c r="U66" s="57">
        <f>+U64*U46</f>
        <v>34269.500532603146</v>
      </c>
      <c r="V66" s="57">
        <f>+V64*V46</f>
        <v>34090.959089814736</v>
      </c>
      <c r="W66" s="57">
        <f>+W64*W46</f>
        <v>31716.911588390347</v>
      </c>
      <c r="X66" s="57">
        <f>+X64*X46</f>
        <v>27660.206736369026</v>
      </c>
      <c r="Y66" s="57">
        <f>+Y64*Y46</f>
        <v>39248.743378979889</v>
      </c>
      <c r="Z66" s="57">
        <f>+Z64*Z46</f>
        <v>36446.757481633387</v>
      </c>
      <c r="AA66" s="57">
        <f>+AA64*AA46</f>
        <v>38220.914804816675</v>
      </c>
      <c r="AB66" s="57">
        <f>+AB64*AB46</f>
        <v>41814.479211418773</v>
      </c>
      <c r="AC66" s="57">
        <f>+AC64*AC46</f>
        <v>36302.464430080843</v>
      </c>
      <c r="AD66" s="58">
        <f>+SUM(R66:AC66)</f>
        <v>425621.90964287537</v>
      </c>
      <c r="AE66" s="57">
        <f>+$AE$64*AE46</f>
        <v>40422.150159673998</v>
      </c>
      <c r="AF66" s="57">
        <f>+$AF$64*AF46</f>
        <v>39409.66330396969</v>
      </c>
      <c r="AG66" s="57">
        <f>+$AG$64*AG46</f>
        <v>41608.996608915353</v>
      </c>
      <c r="AH66" s="57">
        <f>+$AH$64*AH46</f>
        <v>62803.571754805642</v>
      </c>
      <c r="AI66" s="57"/>
      <c r="AJ66" s="57"/>
      <c r="AK66" s="57"/>
      <c r="AL66" s="57"/>
      <c r="AM66" s="57"/>
      <c r="AN66" s="57"/>
      <c r="AO66" s="57"/>
      <c r="AP66" s="57"/>
      <c r="AQ66" s="58">
        <f>+SUM(AE66:AF66)</f>
        <v>79831.813463643688</v>
      </c>
      <c r="AR66" s="57">
        <f>+$AE$64*AR46</f>
        <v>41528.527339887485</v>
      </c>
      <c r="AS66" s="57">
        <f>+$AF$64*AS46</f>
        <v>38321.481663669372</v>
      </c>
      <c r="AT66" s="57">
        <f>+$AG$64*AT46</f>
        <v>45913.974455089956</v>
      </c>
      <c r="AU66" s="57">
        <f>+$AH$64*AU46</f>
        <v>51657.25194713971</v>
      </c>
      <c r="AV66" s="57">
        <f>+$AV$64*AV46</f>
        <v>0</v>
      </c>
      <c r="AW66" s="57"/>
      <c r="AX66" s="57"/>
      <c r="AY66" s="57"/>
      <c r="AZ66" s="57"/>
      <c r="BA66" s="57"/>
      <c r="BB66" s="57"/>
      <c r="BC66" s="57"/>
      <c r="BD66" s="58">
        <f>+SUM(AR66:AS66)</f>
        <v>79850.009003556857</v>
      </c>
      <c r="BE66" s="59">
        <f>+BE64*BE46</f>
        <v>44458.994768107586</v>
      </c>
      <c r="BF66" s="59">
        <f>+BF64*BF46</f>
        <v>37125.150963439766</v>
      </c>
      <c r="BG66" s="59">
        <f>+BG64*BG46</f>
        <v>44417.682563141316</v>
      </c>
      <c r="BH66" s="59">
        <f>+BH64*BH46</f>
        <v>41534.598318535471</v>
      </c>
      <c r="BI66" s="59">
        <f>+BI64*BI46</f>
        <v>38786.544932284887</v>
      </c>
      <c r="BJ66" s="59">
        <f>+BJ64*BJ46</f>
        <v>38755.306666402306</v>
      </c>
      <c r="BK66" s="59">
        <f>+BK64*BK46</f>
        <v>39497.126688227152</v>
      </c>
      <c r="BL66" s="59">
        <f>+BL64*BL46</f>
        <v>39275.198826183718</v>
      </c>
      <c r="BM66" s="59">
        <f>+BM64*BM46</f>
        <v>40081.686720579768</v>
      </c>
      <c r="BN66" s="59">
        <f>+BN64*BN46</f>
        <v>43219.910800713238</v>
      </c>
      <c r="BO66" s="59">
        <f>+BO64*BO46</f>
        <v>43013.984868012674</v>
      </c>
      <c r="BP66" s="59">
        <f>+BP64*BP46</f>
        <v>45584.525214845875</v>
      </c>
      <c r="BQ66" s="58">
        <f>+SUM(BE66:BF66)</f>
        <v>81584.145731547353</v>
      </c>
      <c r="BR66" s="59">
        <f>+BR64*BR46</f>
        <v>47471.146573900798</v>
      </c>
      <c r="BS66" s="59">
        <f>+BS64*BS46</f>
        <v>43602.372320041504</v>
      </c>
      <c r="BT66" s="59">
        <f>+BT64*BT46</f>
        <v>49144.682052271834</v>
      </c>
    </row>
    <row r="67" spans="1:72" s="55" customFormat="1" ht="13.8">
      <c r="A67" s="9" t="str">
        <f t="shared" ref="A67:A71" si="212">+C67</f>
        <v>MANTENIMIENTO</v>
      </c>
      <c r="C67" s="56" t="s">
        <v>20</v>
      </c>
      <c r="D67" s="56"/>
      <c r="E67" s="57">
        <f>+E64*E47</f>
        <v>8415.0421622374633</v>
      </c>
      <c r="F67" s="57">
        <f>+F64*F47</f>
        <v>22414.147145278621</v>
      </c>
      <c r="G67" s="57">
        <f>+G64*G47</f>
        <v>8969.6288188968319</v>
      </c>
      <c r="H67" s="57">
        <f>+H64*H47</f>
        <v>15220.931232501393</v>
      </c>
      <c r="I67" s="57">
        <f>+I64*I47</f>
        <v>12234.439221379724</v>
      </c>
      <c r="J67" s="57">
        <f>+J64*J47</f>
        <v>15913.66792323604</v>
      </c>
      <c r="K67" s="57">
        <f>+K64*K47</f>
        <v>14129.970867616285</v>
      </c>
      <c r="L67" s="57">
        <f>+L64*L47</f>
        <v>15719.276008363368</v>
      </c>
      <c r="M67" s="57">
        <f>+M64*M47</f>
        <v>16843.855609116181</v>
      </c>
      <c r="N67" s="57">
        <f>+N64*N47</f>
        <v>9609.1642070476646</v>
      </c>
      <c r="O67" s="57">
        <f>+O64*O47</f>
        <v>13407.328515878955</v>
      </c>
      <c r="P67" s="57">
        <f>+P64*P47</f>
        <v>4438.4370368408318</v>
      </c>
      <c r="Q67" s="58">
        <f>+Q64*Q47</f>
        <v>154484.81420702979</v>
      </c>
      <c r="R67" s="57">
        <f>+R64*R47</f>
        <v>5157.0316714597238</v>
      </c>
      <c r="S67" s="57">
        <f>+S64*S47</f>
        <v>4949.9235151564853</v>
      </c>
      <c r="T67" s="57">
        <f>+T64*T47</f>
        <v>5010.7291158322878</v>
      </c>
      <c r="U67" s="57">
        <f>+U64*U47</f>
        <v>5216.9092844934266</v>
      </c>
      <c r="V67" s="57">
        <f>+V64*V47</f>
        <v>5141.5029844305918</v>
      </c>
      <c r="W67" s="57">
        <f>+W64*W47</f>
        <v>4798.37727669992</v>
      </c>
      <c r="X67" s="57">
        <f>+X64*X47</f>
        <v>4073.7373061633989</v>
      </c>
      <c r="Y67" s="57">
        <f>+Y64*Y47</f>
        <v>5504.5650304721903</v>
      </c>
      <c r="Z67" s="57">
        <f>+Z64*Z47</f>
        <v>5166.9640106518709</v>
      </c>
      <c r="AA67" s="57">
        <f>+AA64*AA47</f>
        <v>5456.1683196748681</v>
      </c>
      <c r="AB67" s="57">
        <f>+AB64*AB47</f>
        <v>5851.6396307653749</v>
      </c>
      <c r="AC67" s="57">
        <f>+AC64*AC47</f>
        <v>4994.9787094952426</v>
      </c>
      <c r="AD67" s="58">
        <f t="shared" ref="AD67:AD71" si="213">+SUM(R67:AC67)</f>
        <v>61322.526855295386</v>
      </c>
      <c r="AE67" s="57">
        <f>+$AE$64*AE47</f>
        <v>5787.9456289150266</v>
      </c>
      <c r="AF67" s="57">
        <f>+$AF$64*AF47</f>
        <v>5484.1616369142885</v>
      </c>
      <c r="AG67" s="57">
        <f>+$AG$64*AG47</f>
        <v>6044.924974467971</v>
      </c>
      <c r="AH67" s="57">
        <f>+$AH$64*AH47</f>
        <v>5464.8491346480696</v>
      </c>
      <c r="AI67" s="57"/>
      <c r="AJ67" s="57"/>
      <c r="AK67" s="57"/>
      <c r="AL67" s="57"/>
      <c r="AM67" s="57"/>
      <c r="AN67" s="57"/>
      <c r="AO67" s="57"/>
      <c r="AP67" s="57"/>
      <c r="AQ67" s="58">
        <f t="shared" ref="AQ67:AQ71" si="214">+SUM(AE67:AF67)</f>
        <v>11272.107265829316</v>
      </c>
      <c r="AR67" s="57">
        <f>+$AE$64*AR47</f>
        <v>6250.3846013576285</v>
      </c>
      <c r="AS67" s="57">
        <f>+$AF$64*AS47</f>
        <v>5629.2970756378245</v>
      </c>
      <c r="AT67" s="57">
        <f>+$AG$64*AT47</f>
        <v>6616.9578621398459</v>
      </c>
      <c r="AU67" s="57">
        <f>+$AH$64*AU47</f>
        <v>7645.5981454682378</v>
      </c>
      <c r="AV67" s="57">
        <f>+$AH$64*AV47</f>
        <v>5819.1069773518184</v>
      </c>
      <c r="AW67" s="57"/>
      <c r="AX67" s="57"/>
      <c r="AY67" s="57"/>
      <c r="AZ67" s="57"/>
      <c r="BA67" s="57"/>
      <c r="BB67" s="57"/>
      <c r="BC67" s="57"/>
      <c r="BD67" s="58">
        <f t="shared" ref="BD67:BD71" si="215">+SUM(AR67:AS67)</f>
        <v>11879.681676995453</v>
      </c>
      <c r="BE67" s="59">
        <f>+BE64*BE47</f>
        <v>7269.0990036612129</v>
      </c>
      <c r="BF67" s="59">
        <f>+BF64*BF47</f>
        <v>5687.2501423720905</v>
      </c>
      <c r="BG67" s="59">
        <f>+BG64*BG47</f>
        <v>6907.737433493674</v>
      </c>
      <c r="BH67" s="59">
        <f>+BH64*BH47</f>
        <v>6953.9361819215374</v>
      </c>
      <c r="BI67" s="59">
        <f>+BI64*BI47</f>
        <v>6327.8643036116327</v>
      </c>
      <c r="BJ67" s="59">
        <f>+BJ64*BJ47</f>
        <v>7137.6078754725104</v>
      </c>
      <c r="BK67" s="59">
        <f>+BK64*BK47</f>
        <v>6425.7542006687527</v>
      </c>
      <c r="BL67" s="59">
        <f>+BL64*BL47</f>
        <v>6211.3792904546872</v>
      </c>
      <c r="BM67" s="59">
        <f>+BM64*BM47</f>
        <v>5931.4133156743192</v>
      </c>
      <c r="BN67" s="59">
        <f>+BN64*BN47</f>
        <v>6232.7992972884213</v>
      </c>
      <c r="BO67" s="59">
        <f>+BO64*BO47</f>
        <v>6307.8497789662615</v>
      </c>
      <c r="BP67" s="59">
        <f>+BP64*BP47</f>
        <v>6796.6822107811095</v>
      </c>
      <c r="BQ67" s="58">
        <f t="shared" ref="BQ67:BQ71" si="216">+SUM(BE67:BF67)</f>
        <v>12956.349146033303</v>
      </c>
      <c r="BR67" s="59">
        <f>+BR64*BR47</f>
        <v>7483.4986695396519</v>
      </c>
      <c r="BS67" s="59">
        <f>+BS64*BS47</f>
        <v>6786.8584688301125</v>
      </c>
      <c r="BT67" s="59">
        <f>+BT64*BT47</f>
        <v>7481.3078121112467</v>
      </c>
    </row>
    <row r="68" spans="1:72" s="55" customFormat="1" ht="13.8">
      <c r="A68" s="9" t="str">
        <f t="shared" si="212"/>
        <v>MINA</v>
      </c>
      <c r="C68" s="56" t="s">
        <v>24</v>
      </c>
      <c r="D68" s="56"/>
      <c r="E68" s="57">
        <f>+E64*E48</f>
        <v>55589.71020596732</v>
      </c>
      <c r="F68" s="57">
        <f>+F64*F48</f>
        <v>109002.11368247778</v>
      </c>
      <c r="G68" s="57">
        <f>+G64*G48</f>
        <v>199799.65132740577</v>
      </c>
      <c r="H68" s="57">
        <f>+H64*H48</f>
        <v>186898.26059318567</v>
      </c>
      <c r="I68" s="57">
        <f>+I64*I48</f>
        <v>150227.03768126434</v>
      </c>
      <c r="J68" s="57">
        <f>+J64*J48</f>
        <v>195404.39471663037</v>
      </c>
      <c r="K68" s="57">
        <f>+K64*K48</f>
        <v>173502.3263064748</v>
      </c>
      <c r="L68" s="57">
        <f>+L64*L48</f>
        <v>193017.45069802119</v>
      </c>
      <c r="M68" s="57">
        <f>+M64*M48</f>
        <v>206826.19656703062</v>
      </c>
      <c r="N68" s="57">
        <f>+N64*N48</f>
        <v>196719.23236611192</v>
      </c>
      <c r="O68" s="57">
        <f>+O64*O48</f>
        <v>189917.16020618932</v>
      </c>
      <c r="P68" s="57">
        <f>+P64*P48</f>
        <v>168738.42336509158</v>
      </c>
      <c r="Q68" s="58">
        <f>+Q64*Q48</f>
        <v>2010760.6320391702</v>
      </c>
      <c r="R68" s="57">
        <f>+R64*R48</f>
        <v>179206.28489456611</v>
      </c>
      <c r="S68" s="57">
        <f>+S64*S48</f>
        <v>191675.33942609694</v>
      </c>
      <c r="T68" s="57">
        <f>+T64*T48</f>
        <v>215751.11917874642</v>
      </c>
      <c r="U68" s="57">
        <f>+U64*U48</f>
        <v>217835.3188716766</v>
      </c>
      <c r="V68" s="57">
        <f>+V64*V48</f>
        <v>215512.80859583843</v>
      </c>
      <c r="W68" s="57">
        <f>+W64*W48</f>
        <v>182698.87445117492</v>
      </c>
      <c r="X68" s="57">
        <f>+X64*X48</f>
        <v>166077.01695910856</v>
      </c>
      <c r="Y68" s="57">
        <f>+Y64*Y48</f>
        <v>220944.80943225644</v>
      </c>
      <c r="Z68" s="57">
        <f>+Z64*Z48</f>
        <v>195077.6747139309</v>
      </c>
      <c r="AA68" s="57">
        <f>+AA64*AA48</f>
        <v>225817.12052482093</v>
      </c>
      <c r="AB68" s="57">
        <f>+AB64*AB48</f>
        <v>218049.26036112028</v>
      </c>
      <c r="AC68" s="57">
        <f>+AC64*AC48</f>
        <v>189733.51843167288</v>
      </c>
      <c r="AD68" s="58">
        <f t="shared" si="213"/>
        <v>2418379.145841009</v>
      </c>
      <c r="AE68" s="57">
        <f>+$AE$64*AE48</f>
        <v>188823.01918183628</v>
      </c>
      <c r="AF68" s="57">
        <f>+$AF$64*AF48</f>
        <v>206350.89174593813</v>
      </c>
      <c r="AG68" s="57">
        <f>+$AG$64*AG48</f>
        <v>221395.98925526006</v>
      </c>
      <c r="AH68" s="57">
        <f>+$AH$64*AH48</f>
        <v>202281.5743172752</v>
      </c>
      <c r="AI68" s="57"/>
      <c r="AJ68" s="57"/>
      <c r="AK68" s="57"/>
      <c r="AL68" s="57"/>
      <c r="AM68" s="57"/>
      <c r="AN68" s="57"/>
      <c r="AO68" s="57"/>
      <c r="AP68" s="57"/>
      <c r="AQ68" s="58">
        <f t="shared" si="214"/>
        <v>395173.91092777438</v>
      </c>
      <c r="AR68" s="57">
        <f>+$AE$64*AR48</f>
        <v>247116.33967076187</v>
      </c>
      <c r="AS68" s="57">
        <f>+$AF$64*AS48</f>
        <v>223057.3250518741</v>
      </c>
      <c r="AT68" s="57">
        <f>+$AG$64*AT48</f>
        <v>259490.24428521038</v>
      </c>
      <c r="AU68" s="57">
        <f>+$AH$64*AU48</f>
        <v>281608.06900727452</v>
      </c>
      <c r="AV68" s="57">
        <f>+$AH$64*AV48</f>
        <v>224274.96385272249</v>
      </c>
      <c r="AW68" s="57"/>
      <c r="AX68" s="57"/>
      <c r="AY68" s="57"/>
      <c r="AZ68" s="57"/>
      <c r="BA68" s="57"/>
      <c r="BB68" s="57"/>
      <c r="BC68" s="57"/>
      <c r="BD68" s="58">
        <f t="shared" si="215"/>
        <v>470173.66472263599</v>
      </c>
      <c r="BE68" s="59">
        <f>+BE64*BE48</f>
        <v>248154.00080087545</v>
      </c>
      <c r="BF68" s="59">
        <f>+BF64*BF48</f>
        <v>209259.06230391408</v>
      </c>
      <c r="BG68" s="59">
        <f>+BG64*BG48</f>
        <v>255838.87166035763</v>
      </c>
      <c r="BH68" s="59">
        <f>+BH64*BH48</f>
        <v>266272.72842553136</v>
      </c>
      <c r="BI68" s="59">
        <f>+BI64*BI48</f>
        <v>282846.51602737891</v>
      </c>
      <c r="BJ68" s="59">
        <f>+BJ64*BJ48</f>
        <v>259355.77180149642</v>
      </c>
      <c r="BK68" s="59">
        <f>+BK64*BK48</f>
        <v>244895.30436320585</v>
      </c>
      <c r="BL68" s="59">
        <f>+BL64*BL48</f>
        <v>260851.35449129311</v>
      </c>
      <c r="BM68" s="59">
        <f>+BM64*BM48</f>
        <v>263320.70082898007</v>
      </c>
      <c r="BN68" s="59">
        <f>+BN64*BN48</f>
        <v>268977.25266565819</v>
      </c>
      <c r="BO68" s="59">
        <f>+BO64*BO48</f>
        <v>226345.7098372631</v>
      </c>
      <c r="BP68" s="59">
        <f>+BP64*BP48</f>
        <v>228151.68470637637</v>
      </c>
      <c r="BQ68" s="58">
        <f t="shared" si="216"/>
        <v>457413.06310478953</v>
      </c>
      <c r="BR68" s="59">
        <f>+BR64*BR48</f>
        <v>272463.4484034456</v>
      </c>
      <c r="BS68" s="59">
        <f>+BS64*BS48</f>
        <v>234393.91237829064</v>
      </c>
      <c r="BT68" s="59">
        <f>+BT64*BT48</f>
        <v>251266.41834626326</v>
      </c>
    </row>
    <row r="69" spans="1:72" s="55" customFormat="1" ht="13.8">
      <c r="A69" s="9" t="str">
        <f t="shared" si="212"/>
        <v>SULFUROS</v>
      </c>
      <c r="C69" s="56" t="s">
        <v>56</v>
      </c>
      <c r="D69" s="56"/>
      <c r="E69" s="57">
        <f>+E64*E49</f>
        <v>16959.735126781652</v>
      </c>
      <c r="F69" s="57">
        <f>+F64*F49</f>
        <v>135036.01063069937</v>
      </c>
      <c r="G69" s="57">
        <f>+G64*G49</f>
        <v>438706.49078025529</v>
      </c>
      <c r="H69" s="57">
        <f>+H64*H49</f>
        <v>637312.51709450479</v>
      </c>
      <c r="I69" s="57">
        <f>+I64*I49</f>
        <v>512265.71727542515</v>
      </c>
      <c r="J69" s="57">
        <f>+J64*J49</f>
        <v>666317.95423314034</v>
      </c>
      <c r="K69" s="57">
        <f>+K64*K49</f>
        <v>591633.13745769102</v>
      </c>
      <c r="L69" s="57">
        <f>+L64*L49</f>
        <v>658178.60988699517</v>
      </c>
      <c r="M69" s="57">
        <f>+M64*M49</f>
        <v>767200.3446622683</v>
      </c>
      <c r="N69" s="57">
        <f>+N64*N49</f>
        <v>766023.76736427739</v>
      </c>
      <c r="O69" s="57">
        <f>+O64*O49</f>
        <v>719789.54477370053</v>
      </c>
      <c r="P69" s="57">
        <f>+P64*P49</f>
        <v>638983.25168963172</v>
      </c>
      <c r="Q69" s="58">
        <f>+Q64*Q49</f>
        <v>6559229.9717761744</v>
      </c>
      <c r="R69" s="57">
        <f>+R64*R49</f>
        <v>947427.26527772204</v>
      </c>
      <c r="S69" s="57">
        <f>+S64*S49</f>
        <v>839444.54858290602</v>
      </c>
      <c r="T69" s="57">
        <f>+T64*T49</f>
        <v>865923.34700275376</v>
      </c>
      <c r="U69" s="57">
        <f>+U64*U49</f>
        <v>926442.78277772991</v>
      </c>
      <c r="V69" s="57">
        <f>+V64*V49</f>
        <v>839709.52184245375</v>
      </c>
      <c r="W69" s="57">
        <f>+W64*W49</f>
        <v>892251.2004645773</v>
      </c>
      <c r="X69" s="57">
        <f>+X64*X49</f>
        <v>642779.17023115221</v>
      </c>
      <c r="Y69" s="57">
        <f>+Y64*Y49</f>
        <v>1002402.5616683613</v>
      </c>
      <c r="Z69" s="57">
        <f>+Z64*Z49</f>
        <v>931860.26759357052</v>
      </c>
      <c r="AA69" s="57">
        <f>+AA64*AA49</f>
        <v>918124.75638854562</v>
      </c>
      <c r="AB69" s="57">
        <f>+AB64*AB49</f>
        <v>876107.47730461322</v>
      </c>
      <c r="AC69" s="57">
        <f>+AC64*AC49</f>
        <v>906846.14367503452</v>
      </c>
      <c r="AD69" s="58">
        <f t="shared" si="213"/>
        <v>10589319.042809421</v>
      </c>
      <c r="AE69" s="57">
        <f>+$AE$64*AE49</f>
        <v>819470.67657308851</v>
      </c>
      <c r="AF69" s="57">
        <f>+$AF$64*AF49</f>
        <v>869692.26491626888</v>
      </c>
      <c r="AG69" s="57">
        <f>+$AG$64*AG49</f>
        <v>922128.72769458254</v>
      </c>
      <c r="AH69" s="57">
        <f>+$AH$64*AH49</f>
        <v>832199.88250298263</v>
      </c>
      <c r="AI69" s="57"/>
      <c r="AJ69" s="57"/>
      <c r="AK69" s="57"/>
      <c r="AL69" s="57"/>
      <c r="AM69" s="57"/>
      <c r="AN69" s="57"/>
      <c r="AO69" s="57"/>
      <c r="AP69" s="57"/>
      <c r="AQ69" s="58">
        <f t="shared" si="214"/>
        <v>1689162.9414893575</v>
      </c>
      <c r="AR69" s="57">
        <f>+$AE$64*AR49</f>
        <v>851166.44452786073</v>
      </c>
      <c r="AS69" s="57">
        <f>+$AF$64*AS49</f>
        <v>826190.44662194687</v>
      </c>
      <c r="AT69" s="57">
        <f>+$AG$64*AT49</f>
        <v>994898.65182426269</v>
      </c>
      <c r="AU69" s="57">
        <f>+$AH$64*AU49</f>
        <v>602897.51871827873</v>
      </c>
      <c r="AV69" s="57">
        <f>+$AH$64*AV49</f>
        <v>944922.06402875937</v>
      </c>
      <c r="AW69" s="57"/>
      <c r="AX69" s="57"/>
      <c r="AY69" s="57"/>
      <c r="AZ69" s="57"/>
      <c r="BA69" s="57"/>
      <c r="BB69" s="57"/>
      <c r="BC69" s="57"/>
      <c r="BD69" s="58">
        <f t="shared" si="215"/>
        <v>1677356.8911498077</v>
      </c>
      <c r="BE69" s="59">
        <f>+BE64*BE49</f>
        <v>919466.02375486365</v>
      </c>
      <c r="BF69" s="59">
        <f>+BF64*BF49</f>
        <v>901328.91092753049</v>
      </c>
      <c r="BG69" s="59">
        <f>+BG64*BG49</f>
        <v>1008941.0244310489</v>
      </c>
      <c r="BH69" s="59">
        <f>+BH64*BH49</f>
        <v>893412.96801292454</v>
      </c>
      <c r="BI69" s="59">
        <f>+BI64*BI49</f>
        <v>1054001.7544696913</v>
      </c>
      <c r="BJ69" s="59">
        <f>+BJ64*BJ49</f>
        <v>1068496.5493710919</v>
      </c>
      <c r="BK69" s="59">
        <f>+BK64*BK49</f>
        <v>1085393.2446243854</v>
      </c>
      <c r="BL69" s="59">
        <f>+BL64*BL49</f>
        <v>966701.18552765192</v>
      </c>
      <c r="BM69" s="59">
        <f>+BM64*BM49</f>
        <v>1087435.9287117219</v>
      </c>
      <c r="BN69" s="59">
        <f>+BN64*BN49</f>
        <v>960526.21886623581</v>
      </c>
      <c r="BO69" s="59">
        <f>+BO64*BO49</f>
        <v>1129562.7440034968</v>
      </c>
      <c r="BP69" s="59">
        <f>+BP64*BP49</f>
        <v>1098723.383307358</v>
      </c>
      <c r="BQ69" s="58">
        <f t="shared" si="216"/>
        <v>1820794.9346823941</v>
      </c>
      <c r="BR69" s="59">
        <f>+BR64*BR49</f>
        <v>1029933.9229649523</v>
      </c>
      <c r="BS69" s="59">
        <f>+BS64*BS49</f>
        <v>1032142.5736038014</v>
      </c>
      <c r="BT69" s="59">
        <f>+BT64*BT49</f>
        <v>1187575.1478509693</v>
      </c>
    </row>
    <row r="70" spans="1:72" s="55" customFormat="1" ht="13.8">
      <c r="A70" s="9" t="str">
        <f t="shared" si="212"/>
        <v>INFRAESTRUCTURA</v>
      </c>
      <c r="C70" s="56" t="s">
        <v>39</v>
      </c>
      <c r="D70" s="56"/>
      <c r="E70" s="57">
        <f>+E64*E50</f>
        <v>26164.449894826506</v>
      </c>
      <c r="F70" s="57">
        <f>+F64*F50</f>
        <v>92159.443793260536</v>
      </c>
      <c r="G70" s="57">
        <f>+G64*G50</f>
        <v>115155.53765640802</v>
      </c>
      <c r="H70" s="57">
        <f>+H64*H50</f>
        <v>92360.530614901218</v>
      </c>
      <c r="I70" s="57">
        <f>+I64*I50</f>
        <v>74238.512808568194</v>
      </c>
      <c r="J70" s="57">
        <f>+J64*J50</f>
        <v>96564.053208580764</v>
      </c>
      <c r="K70" s="57">
        <f>+K64*K50</f>
        <v>85740.588862227261</v>
      </c>
      <c r="L70" s="57">
        <f>+L64*L50</f>
        <v>95384.484092168961</v>
      </c>
      <c r="M70" s="57">
        <f>+M64*M50</f>
        <v>99806.158975279948</v>
      </c>
      <c r="N70" s="57">
        <f>+N64*N50</f>
        <v>197582.21847675947</v>
      </c>
      <c r="O70" s="57">
        <f>+O64*O50</f>
        <v>171542.70705324982</v>
      </c>
      <c r="P70" s="57">
        <f>+P64*P50</f>
        <v>188292.70355809166</v>
      </c>
      <c r="Q70" s="58">
        <f>+Q64*Q50</f>
        <v>1310198.7306738463</v>
      </c>
      <c r="R70" s="57">
        <f>+R64*R50</f>
        <v>248672.27812409643</v>
      </c>
      <c r="S70" s="57">
        <f>+S64*S50</f>
        <v>226441.81618411493</v>
      </c>
      <c r="T70" s="57">
        <f>+T64*T50</f>
        <v>230357.74302896412</v>
      </c>
      <c r="U70" s="57">
        <f>+U64*U50</f>
        <v>251036.58550676957</v>
      </c>
      <c r="V70" s="57">
        <f>+V64*V50</f>
        <v>241989.72414489544</v>
      </c>
      <c r="W70" s="57">
        <f>+W64*W50</f>
        <v>246508.58042780904</v>
      </c>
      <c r="X70" s="57">
        <f>+X64*X50</f>
        <v>187344.57636278874</v>
      </c>
      <c r="Y70" s="57">
        <f>+Y64*Y50</f>
        <v>269845.26722366462</v>
      </c>
      <c r="Z70" s="57">
        <f>+Z64*Z50</f>
        <v>241945.13143108983</v>
      </c>
      <c r="AA70" s="57">
        <f>+AA64*AA50</f>
        <v>251887.98296248255</v>
      </c>
      <c r="AB70" s="57">
        <f>+AB64*AB50</f>
        <v>281524.16119479755</v>
      </c>
      <c r="AC70" s="57">
        <f>+AC64*AC50</f>
        <v>304845.82159696583</v>
      </c>
      <c r="AD70" s="58">
        <f t="shared" si="213"/>
        <v>2982399.6681884383</v>
      </c>
      <c r="AE70" s="57">
        <f>+$AE$64*AE50</f>
        <v>286635.87898254651</v>
      </c>
      <c r="AF70" s="57">
        <f>+$AF$64*AF50</f>
        <v>281955.81823173945</v>
      </c>
      <c r="AG70" s="57">
        <f>+$AG$64*AG50</f>
        <v>316764.45098076609</v>
      </c>
      <c r="AH70" s="57">
        <f>+$AH$64*AH50</f>
        <v>317229.78875179874</v>
      </c>
      <c r="AI70" s="57"/>
      <c r="AJ70" s="57"/>
      <c r="AK70" s="57"/>
      <c r="AL70" s="57"/>
      <c r="AM70" s="57"/>
      <c r="AN70" s="57"/>
      <c r="AO70" s="57"/>
      <c r="AP70" s="57"/>
      <c r="AQ70" s="58">
        <f t="shared" si="214"/>
        <v>568591.69721428596</v>
      </c>
      <c r="AR70" s="57">
        <f>+$AE$64*AR50</f>
        <v>333571.76591827394</v>
      </c>
      <c r="AS70" s="57">
        <f>+$AF$64*AS50</f>
        <v>299449.06171611132</v>
      </c>
      <c r="AT70" s="57">
        <f>+$AG$64*AT50</f>
        <v>361051.86875457288</v>
      </c>
      <c r="AU70" s="57">
        <f>+$AH$64*AU50</f>
        <v>299962.00384445605</v>
      </c>
      <c r="AV70" s="57">
        <f>+$AH$64*AV50</f>
        <v>326934.84696806374</v>
      </c>
      <c r="AW70" s="57"/>
      <c r="AX70" s="57"/>
      <c r="AY70" s="57"/>
      <c r="AZ70" s="57"/>
      <c r="BA70" s="57"/>
      <c r="BB70" s="57"/>
      <c r="BC70" s="57"/>
      <c r="BD70" s="58">
        <f t="shared" si="215"/>
        <v>633020.82763438532</v>
      </c>
      <c r="BE70" s="59">
        <f>+BE64*BE50</f>
        <v>330274.30245701631</v>
      </c>
      <c r="BF70" s="59">
        <f>+BF64*BF50</f>
        <v>282034.51337113738</v>
      </c>
      <c r="BG70" s="59">
        <f>+BG64*BG50</f>
        <v>356310.21407035872</v>
      </c>
      <c r="BH70" s="59">
        <f>+BH64*BH50</f>
        <v>332892.55202423932</v>
      </c>
      <c r="BI70" s="59">
        <f>+BI64*BI50</f>
        <v>340533.69027868198</v>
      </c>
      <c r="BJ70" s="59">
        <f>+BJ64*BJ50</f>
        <v>350690.4658456528</v>
      </c>
      <c r="BK70" s="59">
        <f>+BK64*BK50</f>
        <v>358203.94950064941</v>
      </c>
      <c r="BL70" s="59">
        <f>+BL64*BL50</f>
        <v>326234.71242987795</v>
      </c>
      <c r="BM70" s="59">
        <f>+BM64*BM50</f>
        <v>357898.51250021427</v>
      </c>
      <c r="BN70" s="59">
        <f>+BN64*BN50</f>
        <v>336024.83184323122</v>
      </c>
      <c r="BO70" s="59">
        <f>+BO64*BO50</f>
        <v>359579.61755401368</v>
      </c>
      <c r="BP70" s="59">
        <f>+BP64*BP50</f>
        <v>382855.39621295122</v>
      </c>
      <c r="BQ70" s="58">
        <f t="shared" si="216"/>
        <v>612308.81582815363</v>
      </c>
      <c r="BR70" s="59">
        <f>+BR64*BR50</f>
        <v>367241.04253446602</v>
      </c>
      <c r="BS70" s="59">
        <f>+BS64*BS50</f>
        <v>356530.50960895885</v>
      </c>
      <c r="BT70" s="59">
        <f>+BT64*BT50</f>
        <v>409769.9237805279</v>
      </c>
    </row>
    <row r="71" spans="1:72" s="55" customFormat="1" ht="13.8">
      <c r="A71" s="9" t="str">
        <f t="shared" si="212"/>
        <v>OXIDOS</v>
      </c>
      <c r="C71" s="56" t="s">
        <v>43</v>
      </c>
      <c r="D71" s="56"/>
      <c r="E71" s="57">
        <f>+E64*E51</f>
        <v>20579.566044451709</v>
      </c>
      <c r="F71" s="57">
        <f>+F64*F51</f>
        <v>21599.734325982248</v>
      </c>
      <c r="G71" s="57">
        <f>+G64*G51</f>
        <v>66460.83537700653</v>
      </c>
      <c r="H71" s="57">
        <f>+H64*H51</f>
        <v>342503.48949787422</v>
      </c>
      <c r="I71" s="57">
        <f>+I64*I51</f>
        <v>275301.03522342595</v>
      </c>
      <c r="J71" s="57">
        <f>+J64*J51</f>
        <v>358091.60419528093</v>
      </c>
      <c r="K71" s="57">
        <f>+K64*K51</f>
        <v>317954.60101497383</v>
      </c>
      <c r="L71" s="57">
        <f>+L64*L51</f>
        <v>353717.36985941749</v>
      </c>
      <c r="M71" s="57">
        <f>+M64*M51</f>
        <v>212087.34332791265</v>
      </c>
      <c r="N71" s="57">
        <f>+N64*N51</f>
        <v>314750.63140564866</v>
      </c>
      <c r="O71" s="57">
        <f>+O64*O51</f>
        <v>320038.72146538453</v>
      </c>
      <c r="P71" s="57">
        <f>+P64*P51</f>
        <v>432715.56769612792</v>
      </c>
      <c r="Q71" s="58">
        <f>+Q64*Q51</f>
        <v>3073812.748344373</v>
      </c>
      <c r="R71" s="57">
        <f>+R64*R51</f>
        <v>541845.32128090551</v>
      </c>
      <c r="S71" s="57">
        <f>+S64*S51</f>
        <v>486534.76196185488</v>
      </c>
      <c r="T71" s="57">
        <f>+T64*T51</f>
        <v>395129.39961000707</v>
      </c>
      <c r="U71" s="57">
        <f>+U64*U51</f>
        <v>492129.67983778956</v>
      </c>
      <c r="V71" s="57">
        <f>+V64*V51</f>
        <v>569956.51743482519</v>
      </c>
      <c r="W71" s="57">
        <f>+W64*W51</f>
        <v>545664.68221432494</v>
      </c>
      <c r="X71" s="57">
        <f>+X64*X51</f>
        <v>513817.35571651993</v>
      </c>
      <c r="Y71" s="57">
        <f>+Y64*Y51</f>
        <v>632505.14417346637</v>
      </c>
      <c r="Z71" s="57">
        <f>+Z64*Z51</f>
        <v>673379.72416671354</v>
      </c>
      <c r="AA71" s="57">
        <f>+AA64*AA51</f>
        <v>722786.94386918074</v>
      </c>
      <c r="AB71" s="57">
        <f>+AB64*AB51</f>
        <v>843224.57373994123</v>
      </c>
      <c r="AC71" s="57">
        <f>+AC64*AC51</f>
        <v>752200.72111486527</v>
      </c>
      <c r="AD71" s="58">
        <f t="shared" si="213"/>
        <v>7169174.825120395</v>
      </c>
      <c r="AE71" s="57">
        <f>+$AE$64*AE51</f>
        <v>911797.31899873831</v>
      </c>
      <c r="AF71" s="57">
        <f>+$AF$64*AF51</f>
        <v>739583.66654312203</v>
      </c>
      <c r="AG71" s="57">
        <f>+$AG$64*AG51</f>
        <v>810923.27048600791</v>
      </c>
      <c r="AH71" s="57">
        <f>+$AH$64*AH51</f>
        <v>800671.24353849003</v>
      </c>
      <c r="AI71" s="57"/>
      <c r="AJ71" s="57"/>
      <c r="AK71" s="57"/>
      <c r="AL71" s="57"/>
      <c r="AM71" s="57"/>
      <c r="AN71" s="57"/>
      <c r="AO71" s="57"/>
      <c r="AP71" s="57"/>
      <c r="AQ71" s="58">
        <f t="shared" si="214"/>
        <v>1651380.9855418603</v>
      </c>
      <c r="AR71" s="57">
        <f>+$AE$64*AR51</f>
        <v>773303.52746665664</v>
      </c>
      <c r="AS71" s="57">
        <f>+$AF$64*AS51</f>
        <v>749828.854248713</v>
      </c>
      <c r="AT71" s="57">
        <f>+$AG$64*AT51</f>
        <v>650894.66281872394</v>
      </c>
      <c r="AU71" s="57">
        <f>+$AH$64*AU51</f>
        <v>976880.468337383</v>
      </c>
      <c r="AV71" s="57">
        <f>+$AH$64*AV51</f>
        <v>681379.04056144785</v>
      </c>
      <c r="AW71" s="57"/>
      <c r="AX71" s="57"/>
      <c r="AY71" s="57"/>
      <c r="AZ71" s="57"/>
      <c r="BA71" s="57"/>
      <c r="BB71" s="57"/>
      <c r="BC71" s="57"/>
      <c r="BD71" s="58">
        <f t="shared" si="215"/>
        <v>1523132.3817153696</v>
      </c>
      <c r="BE71" s="59">
        <f>+BE64*BE51</f>
        <v>876762.69964466093</v>
      </c>
      <c r="BF71" s="59">
        <f>+BF64*BF51</f>
        <v>544382.84900081065</v>
      </c>
      <c r="BG71" s="59">
        <f>+BG64*BG51</f>
        <v>813252.80204448267</v>
      </c>
      <c r="BH71" s="59">
        <f>+BH64*BH51</f>
        <v>857770.45823315065</v>
      </c>
      <c r="BI71" s="59">
        <f>+BI64*BI51</f>
        <v>790678.90146412235</v>
      </c>
      <c r="BJ71" s="59">
        <f>+BJ64*BJ51</f>
        <v>860097.47167459782</v>
      </c>
      <c r="BK71" s="59">
        <f>+BK64*BK51</f>
        <v>922512.82649800344</v>
      </c>
      <c r="BL71" s="59">
        <f>+BL64*BL51</f>
        <v>939127.82237239159</v>
      </c>
      <c r="BM71" s="59">
        <f>+BM64*BM51</f>
        <v>1000849.5633658679</v>
      </c>
      <c r="BN71" s="59">
        <f>+BN64*BN51</f>
        <v>866584.49294889125</v>
      </c>
      <c r="BO71" s="59">
        <f>+BO64*BO51</f>
        <v>1022723.0939582469</v>
      </c>
      <c r="BP71" s="59">
        <f>+BP64*BP51</f>
        <v>1038145.328347687</v>
      </c>
      <c r="BQ71" s="58">
        <f t="shared" si="216"/>
        <v>1421145.5486454717</v>
      </c>
      <c r="BR71" s="59">
        <f>+BR64*BR51</f>
        <v>1047559.0682456472</v>
      </c>
      <c r="BS71" s="59">
        <f>+BS64*BS51</f>
        <v>927071.92143025331</v>
      </c>
      <c r="BT71" s="59">
        <f>+BT64*BT51</f>
        <v>905842.88522223372</v>
      </c>
    </row>
    <row r="72" spans="1:72">
      <c r="G72" s="2"/>
      <c r="H72" s="2"/>
      <c r="M72" s="2"/>
    </row>
    <row r="73" spans="1:72">
      <c r="G73" s="2"/>
      <c r="H73" s="2"/>
      <c r="M73" s="2"/>
    </row>
    <row r="74" spans="1:72">
      <c r="G74" s="2"/>
      <c r="H74" s="2"/>
      <c r="M74" s="2"/>
    </row>
    <row r="75" spans="1:72">
      <c r="G75" s="2"/>
      <c r="H75" s="2"/>
      <c r="M75" s="2"/>
    </row>
    <row r="76" spans="1:72">
      <c r="G76" s="2"/>
      <c r="H76" s="2"/>
      <c r="M76" s="2"/>
    </row>
    <row r="77" spans="1:72">
      <c r="G77" s="2"/>
      <c r="H77" s="2"/>
      <c r="M77" s="2"/>
    </row>
    <row r="78" spans="1:72">
      <c r="G78" s="2"/>
      <c r="H78" s="2"/>
      <c r="M78" s="2"/>
    </row>
    <row r="79" spans="1:72">
      <c r="G79" s="2"/>
      <c r="H79" s="2"/>
      <c r="M79" s="2"/>
    </row>
    <row r="80" spans="1:72">
      <c r="G80" s="2"/>
      <c r="H80" s="2"/>
      <c r="M80" s="2"/>
    </row>
    <row r="81" spans="7:13">
      <c r="G81" s="2"/>
      <c r="H81" s="2"/>
      <c r="M81" s="2"/>
    </row>
    <row r="82" spans="7:13">
      <c r="G82" s="2"/>
      <c r="H82" s="2"/>
      <c r="M82" s="2"/>
    </row>
    <row r="83" spans="7:13">
      <c r="G83" s="2"/>
      <c r="H83" s="2"/>
      <c r="M83" s="2"/>
    </row>
    <row r="84" spans="7:13">
      <c r="G84" s="2"/>
      <c r="H84" s="2"/>
      <c r="M84" s="2"/>
    </row>
    <row r="85" spans="7:13">
      <c r="G85" s="2"/>
      <c r="H85" s="2"/>
    </row>
  </sheetData>
  <dataConsolidate/>
  <pageMargins left="0.7" right="0.7" top="0.75" bottom="0.75" header="0.3" footer="0.3"/>
  <pageSetup paperSize="9" orientation="portrait" r:id="rId1"/>
  <ignoredErrors>
    <ignoredError sqref="Q31 Q28 Q19 Q13 Q10 Q2 AD28 BQ2 BQ10:BQ33 BQ44" formula="1"/>
    <ignoredError sqref="BH32:BN3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12A-C824-4D4B-85A1-B27CDD87335C}">
  <dimension ref="A1:AK88"/>
  <sheetViews>
    <sheetView showGridLines="0" topLeftCell="P1" zoomScale="85" zoomScaleNormal="85" workbookViewId="0">
      <selection activeCell="AJ10" sqref="AJ10"/>
    </sheetView>
  </sheetViews>
  <sheetFormatPr baseColWidth="10" defaultColWidth="11.5546875" defaultRowHeight="14.4"/>
  <cols>
    <col min="1" max="1" width="4.109375" style="51" customWidth="1"/>
    <col min="2" max="11" width="11.5546875" style="51"/>
    <col min="12" max="12" width="12.6640625" style="51" bestFit="1" customWidth="1"/>
    <col min="13" max="13" width="4.109375" style="51" customWidth="1"/>
    <col min="14" max="23" width="11.5546875" style="51"/>
    <col min="24" max="24" width="12.6640625" style="51" bestFit="1" customWidth="1"/>
    <col min="25" max="25" width="4.109375" style="51" customWidth="1"/>
    <col min="26" max="35" width="11.5546875" style="51"/>
    <col min="36" max="36" width="12.6640625" style="51" bestFit="1" customWidth="1"/>
    <col min="37" max="37" width="4.109375" style="51" customWidth="1"/>
    <col min="38" max="16384" width="11.5546875" style="51"/>
  </cols>
  <sheetData>
    <row r="1" spans="1:37" ht="19.95" customHeight="1">
      <c r="A1" s="54"/>
      <c r="B1" s="78" t="s">
        <v>60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54"/>
      <c r="N1" s="78" t="s">
        <v>61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54"/>
      <c r="Z1" s="78" t="s">
        <v>62</v>
      </c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54"/>
    </row>
    <row r="2" spans="1:37">
      <c r="A2" s="54"/>
      <c r="M2" s="54"/>
      <c r="Y2" s="54"/>
      <c r="AK2" s="54"/>
    </row>
    <row r="3" spans="1:37">
      <c r="A3" s="54"/>
      <c r="K3" s="51" t="s">
        <v>63</v>
      </c>
      <c r="L3" s="52">
        <f>+'DETALLE ENERGIA Y FACTURA'!BA14</f>
        <v>2544286.8399563204</v>
      </c>
      <c r="M3" s="54"/>
      <c r="W3" s="51" t="s">
        <v>63</v>
      </c>
      <c r="X3" s="52">
        <f>+'DETALLE ENERGIA Y FACTURA'!BA19</f>
        <v>13830337.815743171</v>
      </c>
      <c r="Y3" s="54"/>
      <c r="AI3" s="51" t="s">
        <v>63</v>
      </c>
      <c r="AJ3" s="52">
        <f>+'DETALLE ENERGIA Y FACTURA'!BA28</f>
        <v>4360972.5329999998</v>
      </c>
      <c r="AK3" s="54"/>
    </row>
    <row r="4" spans="1:37">
      <c r="A4" s="54"/>
      <c r="K4" s="51" t="s">
        <v>64</v>
      </c>
      <c r="L4" s="52">
        <f>+'DETALLE ENERGIA Y FACTURA'!BN14</f>
        <v>2780572.2585167531</v>
      </c>
      <c r="M4" s="54"/>
      <c r="W4" s="51" t="s">
        <v>64</v>
      </c>
      <c r="X4" s="52">
        <f>+'DETALLE ENERGIA Y FACTURA'!BN19</f>
        <v>12349019.661499284</v>
      </c>
      <c r="Y4" s="54"/>
      <c r="AI4" s="51" t="s">
        <v>64</v>
      </c>
      <c r="AJ4" s="52">
        <f>+'DETALLE ENERGIA Y FACTURA'!BN28</f>
        <v>4320108.2632414112</v>
      </c>
      <c r="AK4" s="54"/>
    </row>
    <row r="5" spans="1:37">
      <c r="A5" s="54"/>
      <c r="K5" s="51" t="s">
        <v>65</v>
      </c>
      <c r="L5" s="53">
        <f>+L4/L3-1</f>
        <v>9.2869017301716372E-2</v>
      </c>
      <c r="M5" s="54"/>
      <c r="W5" s="51" t="s">
        <v>65</v>
      </c>
      <c r="X5" s="53">
        <f>+X4/X3-1</f>
        <v>-0.10710643326135472</v>
      </c>
      <c r="Y5" s="54"/>
      <c r="AI5" s="51" t="s">
        <v>65</v>
      </c>
      <c r="AJ5" s="77">
        <f>+AJ4/AJ3-1</f>
        <v>-9.3704487816338444E-3</v>
      </c>
      <c r="AK5" s="54"/>
    </row>
    <row r="6" spans="1:37">
      <c r="A6" s="54"/>
      <c r="M6" s="54"/>
      <c r="Y6" s="54"/>
      <c r="AK6" s="54"/>
    </row>
    <row r="7" spans="1:37">
      <c r="A7" s="54"/>
      <c r="M7" s="54"/>
      <c r="Y7" s="54"/>
      <c r="AK7" s="54"/>
    </row>
    <row r="8" spans="1:37">
      <c r="A8" s="54"/>
      <c r="M8" s="54"/>
      <c r="W8" s="51" t="s">
        <v>66</v>
      </c>
      <c r="X8" s="63">
        <v>22.508721045277788</v>
      </c>
      <c r="Y8" s="54"/>
      <c r="AI8" s="51" t="s">
        <v>66</v>
      </c>
      <c r="AJ8" s="63">
        <v>6.8743972379254963</v>
      </c>
      <c r="AK8" s="54"/>
    </row>
    <row r="9" spans="1:37">
      <c r="A9" s="54"/>
      <c r="M9" s="54"/>
      <c r="W9" s="51" t="s">
        <v>67</v>
      </c>
      <c r="X9" s="63">
        <f>+'DETALLE ENERGIA Y FACTURA'!BN60</f>
        <v>23.388294813445615</v>
      </c>
      <c r="Y9" s="54"/>
      <c r="AI9" s="51" t="s">
        <v>67</v>
      </c>
      <c r="AJ9" s="63">
        <f>+'DETALLE ENERGIA Y FACTURA'!BN62</f>
        <v>6.9011314109287722</v>
      </c>
      <c r="AK9" s="54"/>
    </row>
    <row r="10" spans="1:37">
      <c r="A10" s="54"/>
      <c r="M10" s="54"/>
      <c r="W10" s="51" t="s">
        <v>65</v>
      </c>
      <c r="X10" s="77">
        <f>+X9/X8-1</f>
        <v>3.9077021142094548E-2</v>
      </c>
      <c r="Y10" s="54"/>
      <c r="AI10" s="51" t="s">
        <v>65</v>
      </c>
      <c r="AJ10" s="53">
        <f>+AJ9/AJ8-1</f>
        <v>3.8889479437973495E-3</v>
      </c>
      <c r="AK10" s="54"/>
    </row>
    <row r="11" spans="1:37">
      <c r="A11" s="54"/>
      <c r="M11" s="54"/>
      <c r="Y11" s="54"/>
      <c r="AK11" s="54"/>
    </row>
    <row r="12" spans="1:37">
      <c r="A12" s="54"/>
      <c r="M12" s="54"/>
      <c r="Y12" s="54"/>
      <c r="AK12" s="54"/>
    </row>
    <row r="13" spans="1:37">
      <c r="A13" s="54"/>
      <c r="M13" s="54"/>
      <c r="Y13" s="54"/>
      <c r="AK13" s="54"/>
    </row>
    <row r="14" spans="1:37">
      <c r="A14" s="54"/>
      <c r="M14" s="54"/>
      <c r="Y14" s="54"/>
      <c r="AK14" s="54"/>
    </row>
    <row r="15" spans="1:37">
      <c r="A15" s="54"/>
      <c r="M15" s="54"/>
      <c r="Y15" s="54"/>
      <c r="AK15" s="54"/>
    </row>
    <row r="16" spans="1:37">
      <c r="A16" s="54"/>
      <c r="M16" s="54"/>
      <c r="Y16" s="54"/>
      <c r="AK16" s="54"/>
    </row>
    <row r="17" spans="1:37">
      <c r="A17" s="54"/>
      <c r="M17" s="54"/>
      <c r="Y17" s="54"/>
      <c r="AK17" s="54"/>
    </row>
    <row r="18" spans="1:37">
      <c r="A18" s="54"/>
      <c r="M18" s="54"/>
      <c r="Y18" s="54"/>
      <c r="AK18" s="54"/>
    </row>
    <row r="19" spans="1:37">
      <c r="A19" s="54"/>
      <c r="M19" s="54"/>
      <c r="Y19" s="54"/>
      <c r="AK19" s="54"/>
    </row>
    <row r="20" spans="1:37">
      <c r="A20" s="54"/>
      <c r="M20" s="54"/>
      <c r="Y20" s="54"/>
      <c r="AK20" s="54"/>
    </row>
    <row r="21" spans="1:37">
      <c r="A21" s="54"/>
      <c r="M21" s="54"/>
      <c r="Y21" s="54"/>
      <c r="AK21" s="54"/>
    </row>
    <row r="22" spans="1:37">
      <c r="A22" s="54"/>
      <c r="M22" s="54"/>
      <c r="Y22" s="54"/>
      <c r="AK22" s="54"/>
    </row>
    <row r="23" spans="1:37" ht="19.95" customHeight="1">
      <c r="A23" s="54"/>
      <c r="B23" s="78" t="s">
        <v>68</v>
      </c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54"/>
      <c r="N23" s="78" t="s">
        <v>69</v>
      </c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54"/>
      <c r="Z23" s="78" t="s">
        <v>70</v>
      </c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54"/>
    </row>
    <row r="24" spans="1:37">
      <c r="A24" s="54"/>
      <c r="M24" s="54"/>
      <c r="Y24" s="54"/>
      <c r="AA24" s="72" t="s">
        <v>71</v>
      </c>
      <c r="AB24" s="72" t="s">
        <v>72</v>
      </c>
      <c r="AC24" s="72" t="s">
        <v>73</v>
      </c>
      <c r="AD24" s="72" t="s">
        <v>74</v>
      </c>
      <c r="AE24" s="72" t="s">
        <v>75</v>
      </c>
      <c r="AF24" s="72" t="s">
        <v>76</v>
      </c>
      <c r="AG24" s="72" t="s">
        <v>77</v>
      </c>
      <c r="AH24" s="72" t="s">
        <v>78</v>
      </c>
      <c r="AI24" s="72" t="s">
        <v>79</v>
      </c>
      <c r="AJ24" s="68"/>
      <c r="AK24" s="54"/>
    </row>
    <row r="25" spans="1:37">
      <c r="A25" s="54"/>
      <c r="K25" s="51" t="s">
        <v>63</v>
      </c>
      <c r="L25" s="52">
        <f>+'DETALLE ENERGIA Y FACTURA'!BA15</f>
        <v>636071.70998908009</v>
      </c>
      <c r="M25" s="54"/>
      <c r="W25" s="51" t="s">
        <v>63</v>
      </c>
      <c r="X25" s="52">
        <f>+'DETALLE ENERGIA Y FACTURA'!BA31</f>
        <v>9406805.4405846074</v>
      </c>
      <c r="Y25" s="54"/>
      <c r="AA25" s="74" t="s">
        <v>80</v>
      </c>
      <c r="AB25" s="71">
        <v>9583</v>
      </c>
      <c r="AC25" s="73">
        <f>+'DETALLE ENERGIA Y FACTURA'!BE54/1000</f>
        <v>9255</v>
      </c>
      <c r="AD25" s="71">
        <v>504</v>
      </c>
      <c r="AE25" s="73">
        <f>+'DETALLE ENERGIA Y FACTURA'!BE55/1000</f>
        <v>507</v>
      </c>
      <c r="AF25" s="71">
        <v>958</v>
      </c>
      <c r="AG25" s="73">
        <f>+'DETALLE ENERGIA Y FACTURA'!BE56/1000</f>
        <v>989</v>
      </c>
      <c r="AH25" s="71">
        <v>615</v>
      </c>
      <c r="AI25" s="73">
        <f>+'DETALLE ENERGIA Y FACTURA'!BE57</f>
        <v>595000</v>
      </c>
      <c r="AJ25" s="69"/>
      <c r="AK25" s="54"/>
    </row>
    <row r="26" spans="1:37">
      <c r="A26" s="54"/>
      <c r="K26" s="51" t="s">
        <v>64</v>
      </c>
      <c r="L26" s="52">
        <f>+'DETALLE ENERGIA Y FACTURA'!BN15</f>
        <v>665381.58785607317</v>
      </c>
      <c r="M26" s="54"/>
      <c r="W26" s="51" t="s">
        <v>64</v>
      </c>
      <c r="X26" s="52">
        <f>+'DETALLE ENERGIA Y FACTURA'!BN31</f>
        <v>11141256.460867673</v>
      </c>
      <c r="Y26" s="54"/>
      <c r="AA26" s="74" t="s">
        <v>81</v>
      </c>
      <c r="AB26" s="71">
        <v>8949</v>
      </c>
      <c r="AC26" s="73">
        <f>+'DETALLE ENERGIA Y FACTURA'!BF54/1000</f>
        <v>8341</v>
      </c>
      <c r="AD26" s="71">
        <v>547</v>
      </c>
      <c r="AE26" s="73">
        <f>+'DETALLE ENERGIA Y FACTURA'!BF55/1000</f>
        <v>568</v>
      </c>
      <c r="AF26" s="71">
        <v>753</v>
      </c>
      <c r="AG26" s="73">
        <f>+'DETALLE ENERGIA Y FACTURA'!BF56/1000</f>
        <v>664</v>
      </c>
      <c r="AH26" s="71">
        <v>586</v>
      </c>
      <c r="AI26" s="73">
        <f>+'DETALLE ENERGIA Y FACTURA'!BF57</f>
        <v>573000</v>
      </c>
      <c r="AJ26" s="69"/>
      <c r="AK26" s="54"/>
    </row>
    <row r="27" spans="1:37">
      <c r="A27" s="54"/>
      <c r="K27" s="51" t="s">
        <v>65</v>
      </c>
      <c r="L27" s="53">
        <f>+L26/L25-1</f>
        <v>4.6079518090021976E-2</v>
      </c>
      <c r="M27" s="54"/>
      <c r="W27" s="51" t="s">
        <v>65</v>
      </c>
      <c r="X27" s="53">
        <f>+X26/X25-1</f>
        <v>0.18438257612940223</v>
      </c>
      <c r="Y27" s="54"/>
      <c r="AA27" s="74" t="s">
        <v>82</v>
      </c>
      <c r="AB27" s="71">
        <v>9979</v>
      </c>
      <c r="AC27" s="73">
        <f>+'DETALLE ENERGIA Y FACTURA'!BG54/1000</f>
        <v>9732</v>
      </c>
      <c r="AD27" s="71">
        <v>618</v>
      </c>
      <c r="AE27" s="73">
        <f>+'DETALLE ENERGIA Y FACTURA'!BG55/1000</f>
        <v>611</v>
      </c>
      <c r="AF27" s="71">
        <v>957</v>
      </c>
      <c r="AG27" s="73">
        <f>+'DETALLE ENERGIA Y FACTURA'!BG56/1000</f>
        <v>958</v>
      </c>
      <c r="AH27" s="71">
        <v>686</v>
      </c>
      <c r="AI27" s="73">
        <f>+'DETALLE ENERGIA Y FACTURA'!BG57</f>
        <v>667000</v>
      </c>
      <c r="AJ27" s="70"/>
      <c r="AK27" s="54"/>
    </row>
    <row r="28" spans="1:37">
      <c r="A28" s="54"/>
      <c r="M28" s="54"/>
      <c r="Y28" s="54"/>
      <c r="AA28" s="74" t="s">
        <v>83</v>
      </c>
      <c r="AB28" s="71">
        <v>8085</v>
      </c>
      <c r="AC28" s="73">
        <f>+'DETALLE ENERGIA Y FACTURA'!BH54/1000</f>
        <v>9565</v>
      </c>
      <c r="AD28" s="71">
        <v>495</v>
      </c>
      <c r="AE28" s="73">
        <f>+'DETALLE ENERGIA Y FACTURA'!BH55/1000</f>
        <v>503</v>
      </c>
      <c r="AF28" s="71">
        <v>929</v>
      </c>
      <c r="AG28" s="73">
        <f>+'DETALLE ENERGIA Y FACTURA'!BH56/1000</f>
        <v>984</v>
      </c>
      <c r="AH28" s="71">
        <v>600</v>
      </c>
      <c r="AI28" s="73">
        <f>+'DETALLE ENERGIA Y FACTURA'!BH57</f>
        <v>597000</v>
      </c>
      <c r="AJ28" s="67"/>
      <c r="AK28" s="54"/>
    </row>
    <row r="29" spans="1:37">
      <c r="A29" s="54"/>
      <c r="M29" s="54"/>
      <c r="Y29" s="54"/>
      <c r="AA29" s="74" t="s">
        <v>84</v>
      </c>
      <c r="AB29" s="71">
        <v>9704</v>
      </c>
      <c r="AC29" s="73">
        <f>+'DETALLE ENERGIA Y FACTURA'!BI54/1000</f>
        <v>10116</v>
      </c>
      <c r="AD29" s="71">
        <v>623</v>
      </c>
      <c r="AE29" s="73">
        <f>+'DETALLE ENERGIA Y FACTURA'!BI55/1000</f>
        <v>604</v>
      </c>
      <c r="AF29" s="71">
        <v>911</v>
      </c>
      <c r="AG29" s="73">
        <f>+'DETALLE ENERGIA Y FACTURA'!BI56/1000</f>
        <v>863</v>
      </c>
      <c r="AH29" s="71">
        <v>678</v>
      </c>
      <c r="AI29" s="73">
        <f>+'DETALLE ENERGIA Y FACTURA'!BI57</f>
        <v>648000</v>
      </c>
      <c r="AJ29" s="67"/>
      <c r="AK29" s="54"/>
    </row>
    <row r="30" spans="1:37">
      <c r="A30" s="54"/>
      <c r="M30" s="54"/>
      <c r="W30" s="51" t="s">
        <v>66</v>
      </c>
      <c r="X30" s="63">
        <v>13.658634898812261</v>
      </c>
      <c r="Y30" s="54"/>
      <c r="AA30" s="74" t="s">
        <v>85</v>
      </c>
      <c r="AB30" s="71">
        <v>9318</v>
      </c>
      <c r="AC30" s="73">
        <f>+'DETALLE ENERGIA Y FACTURA'!BJ54/1000</f>
        <v>9124</v>
      </c>
      <c r="AD30" s="71">
        <v>610</v>
      </c>
      <c r="AE30" s="73">
        <f>+'DETALLE ENERGIA Y FACTURA'!BJ55/1000</f>
        <v>579</v>
      </c>
      <c r="AF30" s="71">
        <v>922</v>
      </c>
      <c r="AG30" s="73">
        <f>+'DETALLE ENERGIA Y FACTURA'!BJ56/1000</f>
        <v>972</v>
      </c>
      <c r="AH30" s="71">
        <v>669</v>
      </c>
      <c r="AI30" s="73">
        <f>+'DETALLE ENERGIA Y FACTURA'!BJ57</f>
        <v>635000</v>
      </c>
      <c r="AJ30" s="67"/>
      <c r="AK30" s="54"/>
    </row>
    <row r="31" spans="1:37">
      <c r="A31" s="54"/>
      <c r="M31" s="54"/>
      <c r="W31" s="51" t="s">
        <v>67</v>
      </c>
      <c r="X31" s="63">
        <f>+'DETALLE ENERGIA Y FACTURA'!BN61</f>
        <v>12.954949373101945</v>
      </c>
      <c r="Y31" s="54"/>
      <c r="AA31" s="74" t="s">
        <v>86</v>
      </c>
      <c r="AB31" s="71"/>
      <c r="AC31" s="73">
        <f>+'DETALLE ENERGIA Y FACTURA'!BK54/1000</f>
        <v>9699</v>
      </c>
      <c r="AD31" s="71"/>
      <c r="AE31" s="73">
        <f>+'DETALLE ENERGIA Y FACTURA'!BK55/1000</f>
        <v>612</v>
      </c>
      <c r="AF31" s="71"/>
      <c r="AG31" s="73">
        <f>+'DETALLE ENERGIA Y FACTURA'!BK56/1000</f>
        <v>1039</v>
      </c>
      <c r="AH31" s="71"/>
      <c r="AI31" s="73">
        <f>+'DETALLE ENERGIA Y FACTURA'!BK57</f>
        <v>666000</v>
      </c>
      <c r="AJ31" s="67"/>
      <c r="AK31" s="54"/>
    </row>
    <row r="32" spans="1:37">
      <c r="A32" s="54"/>
      <c r="M32" s="54"/>
      <c r="W32" s="51" t="s">
        <v>65</v>
      </c>
      <c r="X32" s="53">
        <f>+X31/X30-1</f>
        <v>-5.1519462297912932E-2</v>
      </c>
      <c r="Y32" s="54"/>
      <c r="AA32" s="74" t="s">
        <v>87</v>
      </c>
      <c r="AB32" s="71"/>
      <c r="AC32" s="73"/>
      <c r="AD32" s="71"/>
      <c r="AE32" s="73"/>
      <c r="AF32" s="71"/>
      <c r="AG32" s="73"/>
      <c r="AH32" s="71"/>
      <c r="AI32" s="73"/>
      <c r="AJ32" s="67"/>
      <c r="AK32" s="54"/>
    </row>
    <row r="33" spans="1:37">
      <c r="A33" s="54"/>
      <c r="M33" s="54"/>
      <c r="Y33" s="54"/>
      <c r="AA33" s="74" t="s">
        <v>88</v>
      </c>
      <c r="AB33" s="71"/>
      <c r="AC33" s="73"/>
      <c r="AD33" s="71"/>
      <c r="AE33" s="73"/>
      <c r="AF33" s="71"/>
      <c r="AG33" s="73"/>
      <c r="AH33" s="71"/>
      <c r="AI33" s="73"/>
      <c r="AJ33" s="67"/>
      <c r="AK33" s="54"/>
    </row>
    <row r="34" spans="1:37">
      <c r="A34" s="54"/>
      <c r="M34" s="54"/>
      <c r="Y34" s="54"/>
      <c r="AA34" s="74" t="s">
        <v>89</v>
      </c>
      <c r="AB34" s="71"/>
      <c r="AC34" s="73"/>
      <c r="AD34" s="71"/>
      <c r="AE34" s="73"/>
      <c r="AF34" s="71"/>
      <c r="AG34" s="73"/>
      <c r="AH34" s="71"/>
      <c r="AI34" s="73"/>
      <c r="AJ34" s="67"/>
      <c r="AK34" s="54"/>
    </row>
    <row r="35" spans="1:37">
      <c r="A35" s="54"/>
      <c r="M35" s="54"/>
      <c r="Y35" s="54"/>
      <c r="AA35" s="74" t="s">
        <v>90</v>
      </c>
      <c r="AB35" s="71"/>
      <c r="AC35" s="73"/>
      <c r="AD35" s="71"/>
      <c r="AE35" s="73"/>
      <c r="AF35" s="71"/>
      <c r="AG35" s="73"/>
      <c r="AH35" s="71"/>
      <c r="AI35" s="73"/>
      <c r="AJ35" s="67"/>
      <c r="AK35" s="54"/>
    </row>
    <row r="36" spans="1:37">
      <c r="A36" s="54"/>
      <c r="M36" s="54"/>
      <c r="Y36" s="54"/>
      <c r="AA36" s="74" t="s">
        <v>91</v>
      </c>
      <c r="AB36" s="71"/>
      <c r="AC36" s="73"/>
      <c r="AD36" s="71"/>
      <c r="AE36" s="73"/>
      <c r="AF36" s="71"/>
      <c r="AG36" s="73"/>
      <c r="AH36" s="71"/>
      <c r="AI36" s="73"/>
      <c r="AJ36" s="67"/>
      <c r="AK36" s="54"/>
    </row>
    <row r="37" spans="1:37">
      <c r="A37" s="54"/>
      <c r="M37" s="54"/>
      <c r="Y37" s="54"/>
      <c r="AA37" s="67"/>
      <c r="AB37" s="75">
        <f>SUM(AB25:AB36)</f>
        <v>55618</v>
      </c>
      <c r="AC37" s="76">
        <f t="shared" ref="AC37:AI37" si="0">SUM(AC25:AC36)</f>
        <v>65832</v>
      </c>
      <c r="AD37" s="75">
        <f t="shared" si="0"/>
        <v>3397</v>
      </c>
      <c r="AE37" s="76">
        <f t="shared" si="0"/>
        <v>3984</v>
      </c>
      <c r="AF37" s="75">
        <f t="shared" si="0"/>
        <v>5430</v>
      </c>
      <c r="AG37" s="76">
        <f t="shared" si="0"/>
        <v>6469</v>
      </c>
      <c r="AH37" s="75">
        <f t="shared" si="0"/>
        <v>3834</v>
      </c>
      <c r="AI37" s="76">
        <f t="shared" si="0"/>
        <v>4381000</v>
      </c>
      <c r="AJ37" s="67"/>
      <c r="AK37" s="54"/>
    </row>
    <row r="38" spans="1:37">
      <c r="A38" s="54"/>
      <c r="M38" s="54"/>
      <c r="Y38" s="54"/>
      <c r="AA38" s="67"/>
      <c r="AB38" s="67"/>
      <c r="AC38" s="53">
        <f>+AC37/AB37-1</f>
        <v>0.18364558236542128</v>
      </c>
      <c r="AD38" s="67"/>
      <c r="AE38" s="53">
        <f>+AE37/AD37-1</f>
        <v>0.17279952899617301</v>
      </c>
      <c r="AF38" s="67"/>
      <c r="AG38" s="53">
        <f>+AG37/AF37-1</f>
        <v>0.19134438305709023</v>
      </c>
      <c r="AH38" s="67"/>
      <c r="AI38" s="53">
        <f>+AI37/AH37-1</f>
        <v>1141.6708398539383</v>
      </c>
      <c r="AJ38" s="67"/>
      <c r="AK38" s="54"/>
    </row>
    <row r="39" spans="1:37">
      <c r="A39" s="54"/>
      <c r="M39" s="54"/>
      <c r="Y39" s="54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54"/>
    </row>
    <row r="40" spans="1:37">
      <c r="A40" s="54"/>
      <c r="M40" s="54"/>
      <c r="Y40" s="54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54"/>
    </row>
    <row r="41" spans="1:37">
      <c r="A41" s="54"/>
      <c r="M41" s="54"/>
      <c r="Y41" s="54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54"/>
    </row>
    <row r="42" spans="1:37">
      <c r="A42" s="54"/>
      <c r="M42" s="54"/>
      <c r="Y42" s="54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54"/>
    </row>
    <row r="43" spans="1:37">
      <c r="A43" s="54"/>
      <c r="M43" s="54"/>
      <c r="Y43" s="54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54"/>
    </row>
    <row r="44" spans="1:37" ht="19.95" customHeight="1">
      <c r="A44" s="54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54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54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54"/>
    </row>
    <row r="45" spans="1:37">
      <c r="A45" s="54"/>
      <c r="M45" s="54"/>
      <c r="Y45" s="54"/>
      <c r="AK45" s="54"/>
    </row>
    <row r="46" spans="1:37">
      <c r="A46" s="54"/>
      <c r="L46" s="52"/>
      <c r="M46" s="54"/>
      <c r="X46" s="52"/>
      <c r="Y46" s="54"/>
      <c r="AJ46" s="52"/>
      <c r="AK46" s="54"/>
    </row>
    <row r="47" spans="1:37">
      <c r="A47" s="54"/>
      <c r="L47" s="52"/>
      <c r="M47" s="54"/>
      <c r="X47" s="52"/>
      <c r="Y47" s="54"/>
      <c r="AJ47" s="52"/>
      <c r="AK47" s="54"/>
    </row>
    <row r="48" spans="1:37">
      <c r="A48" s="54"/>
      <c r="L48" s="53"/>
      <c r="M48" s="54"/>
      <c r="X48" s="53"/>
      <c r="Y48" s="54"/>
      <c r="AJ48" s="53"/>
      <c r="AK48" s="54"/>
    </row>
    <row r="49" spans="1:37">
      <c r="A49" s="54"/>
      <c r="M49" s="54"/>
      <c r="Y49" s="54"/>
      <c r="AK49" s="54"/>
    </row>
    <row r="50" spans="1:37">
      <c r="A50" s="54"/>
      <c r="M50" s="54"/>
      <c r="Y50" s="54"/>
      <c r="AK50" s="54"/>
    </row>
    <row r="51" spans="1:37">
      <c r="A51" s="54"/>
      <c r="M51" s="54"/>
      <c r="X51" s="63"/>
      <c r="Y51" s="54"/>
      <c r="AJ51" s="63"/>
      <c r="AK51" s="54"/>
    </row>
    <row r="52" spans="1:37">
      <c r="A52" s="54"/>
      <c r="M52" s="54"/>
      <c r="X52" s="63"/>
      <c r="Y52" s="54"/>
      <c r="AJ52" s="63"/>
      <c r="AK52" s="54"/>
    </row>
    <row r="53" spans="1:37">
      <c r="A53" s="54"/>
      <c r="M53" s="54"/>
      <c r="X53" s="53"/>
      <c r="Y53" s="54"/>
      <c r="AJ53" s="53"/>
      <c r="AK53" s="54"/>
    </row>
    <row r="54" spans="1:37">
      <c r="A54" s="54"/>
      <c r="M54" s="54"/>
      <c r="Y54" s="54"/>
      <c r="AK54" s="54"/>
    </row>
    <row r="55" spans="1:37">
      <c r="A55" s="54"/>
      <c r="M55" s="54"/>
      <c r="Y55" s="54"/>
      <c r="AK55" s="54"/>
    </row>
    <row r="56" spans="1:37">
      <c r="A56" s="54"/>
      <c r="M56" s="54"/>
      <c r="Y56" s="54"/>
      <c r="AK56" s="54"/>
    </row>
    <row r="57" spans="1:37">
      <c r="A57" s="54"/>
      <c r="M57" s="54"/>
      <c r="Y57" s="54"/>
      <c r="AK57" s="54"/>
    </row>
    <row r="58" spans="1:37">
      <c r="A58" s="54"/>
      <c r="M58" s="54"/>
      <c r="Y58" s="54"/>
      <c r="AK58" s="54"/>
    </row>
    <row r="59" spans="1:37">
      <c r="A59" s="54"/>
      <c r="M59" s="54"/>
      <c r="Y59" s="54"/>
      <c r="AK59" s="54"/>
    </row>
    <row r="60" spans="1:37">
      <c r="A60" s="54"/>
      <c r="M60" s="54"/>
      <c r="Y60" s="54"/>
      <c r="AK60" s="54"/>
    </row>
    <row r="61" spans="1:37">
      <c r="A61" s="54"/>
      <c r="M61" s="54"/>
      <c r="Y61" s="54"/>
      <c r="AK61" s="54"/>
    </row>
    <row r="62" spans="1:37">
      <c r="A62" s="54"/>
      <c r="M62" s="54"/>
      <c r="Y62" s="54"/>
      <c r="AK62" s="54"/>
    </row>
    <row r="63" spans="1:37">
      <c r="A63" s="54"/>
      <c r="M63" s="54"/>
      <c r="Y63" s="54"/>
      <c r="AK63" s="54"/>
    </row>
    <row r="64" spans="1:37">
      <c r="A64" s="54"/>
      <c r="M64" s="54"/>
      <c r="Y64" s="54"/>
      <c r="AK64" s="54"/>
    </row>
    <row r="65" spans="1:37">
      <c r="A65" s="54"/>
      <c r="M65" s="54"/>
      <c r="Y65" s="54"/>
      <c r="AK65" s="54"/>
    </row>
    <row r="66" spans="1:37">
      <c r="A66" s="54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54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54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54"/>
    </row>
    <row r="67" spans="1:37">
      <c r="M67" s="54"/>
      <c r="Y67" s="54"/>
    </row>
    <row r="68" spans="1:37">
      <c r="M68" s="54"/>
      <c r="X68" s="52"/>
      <c r="Y68" s="54"/>
    </row>
    <row r="69" spans="1:37">
      <c r="M69" s="54"/>
      <c r="X69" s="52"/>
      <c r="Y69" s="54"/>
    </row>
    <row r="70" spans="1:37">
      <c r="M70" s="54"/>
      <c r="X70" s="53"/>
      <c r="Y70" s="54"/>
    </row>
    <row r="71" spans="1:37">
      <c r="M71" s="54"/>
      <c r="Y71" s="54"/>
    </row>
    <row r="72" spans="1:37">
      <c r="M72" s="54"/>
      <c r="Y72" s="54"/>
    </row>
    <row r="73" spans="1:37">
      <c r="M73" s="54"/>
      <c r="X73" s="63"/>
      <c r="Y73" s="54"/>
    </row>
    <row r="74" spans="1:37">
      <c r="M74" s="54"/>
      <c r="X74" s="63"/>
      <c r="Y74" s="54"/>
    </row>
    <row r="75" spans="1:37">
      <c r="M75" s="54"/>
      <c r="X75" s="53"/>
      <c r="Y75" s="54"/>
    </row>
    <row r="76" spans="1:37">
      <c r="M76" s="54"/>
      <c r="Y76" s="54"/>
    </row>
    <row r="77" spans="1:37">
      <c r="M77" s="54"/>
      <c r="Y77" s="54"/>
    </row>
    <row r="78" spans="1:37">
      <c r="M78" s="54"/>
      <c r="Y78" s="54"/>
    </row>
    <row r="79" spans="1:37">
      <c r="M79" s="54"/>
      <c r="Y79" s="54"/>
    </row>
    <row r="80" spans="1:37">
      <c r="M80" s="54"/>
      <c r="Y80" s="54"/>
    </row>
    <row r="81" spans="13:25">
      <c r="M81" s="54"/>
      <c r="Y81" s="54"/>
    </row>
    <row r="82" spans="13:25">
      <c r="M82" s="54"/>
      <c r="Y82" s="54"/>
    </row>
    <row r="83" spans="13:25">
      <c r="M83" s="54"/>
      <c r="Y83" s="54"/>
    </row>
    <row r="84" spans="13:25">
      <c r="M84" s="54"/>
      <c r="Y84" s="54"/>
    </row>
    <row r="85" spans="13:25">
      <c r="M85" s="54"/>
      <c r="Y85" s="54"/>
    </row>
    <row r="86" spans="13:25">
      <c r="M86" s="54"/>
      <c r="Y86" s="54"/>
    </row>
    <row r="87" spans="13:25">
      <c r="M87" s="54"/>
      <c r="Y87" s="54"/>
    </row>
    <row r="88" spans="13:25">
      <c r="M88" s="54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54"/>
    </row>
  </sheetData>
  <mergeCells count="13">
    <mergeCell ref="B66:L66"/>
    <mergeCell ref="N66:X66"/>
    <mergeCell ref="Z66:AJ66"/>
    <mergeCell ref="N88:X88"/>
    <mergeCell ref="Z1:AJ1"/>
    <mergeCell ref="Z23:AJ23"/>
    <mergeCell ref="Z44:AJ44"/>
    <mergeCell ref="B1:L1"/>
    <mergeCell ref="B23:L23"/>
    <mergeCell ref="N1:X1"/>
    <mergeCell ref="N23:X23"/>
    <mergeCell ref="B44:L44"/>
    <mergeCell ref="N44:X44"/>
  </mergeCells>
  <phoneticPr fontId="31" type="noConversion"/>
  <conditionalFormatting sqref="L5">
    <cfRule type="cellIs" dxfId="39" priority="48" operator="greaterThan">
      <formula>0</formula>
    </cfRule>
    <cfRule type="cellIs" dxfId="38" priority="49" operator="lessThan">
      <formula>0</formula>
    </cfRule>
  </conditionalFormatting>
  <conditionalFormatting sqref="L6">
    <cfRule type="iconSet" priority="50">
      <iconSet iconSet="3Arrows">
        <cfvo type="percent" val="0"/>
        <cfvo type="percent" val="33"/>
        <cfvo type="percent" val="67"/>
      </iconSet>
    </cfRule>
  </conditionalFormatting>
  <conditionalFormatting sqref="L27">
    <cfRule type="cellIs" dxfId="37" priority="45" operator="greaterThan">
      <formula>0</formula>
    </cfRule>
    <cfRule type="cellIs" dxfId="36" priority="46" operator="lessThan">
      <formula>0</formula>
    </cfRule>
  </conditionalFormatting>
  <conditionalFormatting sqref="L28">
    <cfRule type="iconSet" priority="47">
      <iconSet iconSet="3Arrows">
        <cfvo type="percent" val="0"/>
        <cfvo type="percent" val="33"/>
        <cfvo type="percent" val="67"/>
      </iconSet>
    </cfRule>
  </conditionalFormatting>
  <conditionalFormatting sqref="L48">
    <cfRule type="cellIs" dxfId="35" priority="16" operator="greaterThan">
      <formula>0</formula>
    </cfRule>
    <cfRule type="cellIs" dxfId="34" priority="17" operator="lessThan">
      <formula>0</formula>
    </cfRule>
  </conditionalFormatting>
  <conditionalFormatting sqref="L49"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X5">
    <cfRule type="cellIs" dxfId="33" priority="42" operator="greaterThan">
      <formula>0</formula>
    </cfRule>
    <cfRule type="cellIs" dxfId="32" priority="43" operator="lessThan">
      <formula>0</formula>
    </cfRule>
  </conditionalFormatting>
  <conditionalFormatting sqref="X6">
    <cfRule type="iconSet" priority="44">
      <iconSet iconSet="3Arrows">
        <cfvo type="percent" val="0"/>
        <cfvo type="percent" val="33"/>
        <cfvo type="percent" val="67"/>
      </iconSet>
    </cfRule>
  </conditionalFormatting>
  <conditionalFormatting sqref="X10">
    <cfRule type="cellIs" dxfId="31" priority="31" operator="greaterThan">
      <formula>0</formula>
    </cfRule>
    <cfRule type="cellIs" dxfId="30" priority="32" operator="lessThan">
      <formula>0</formula>
    </cfRule>
  </conditionalFormatting>
  <conditionalFormatting sqref="X27">
    <cfRule type="cellIs" dxfId="29" priority="39" operator="greaterThan">
      <formula>0</formula>
    </cfRule>
    <cfRule type="cellIs" dxfId="28" priority="40" operator="lessThan">
      <formula>0</formula>
    </cfRule>
  </conditionalFormatting>
  <conditionalFormatting sqref="X28">
    <cfRule type="iconSet" priority="41">
      <iconSet iconSet="3Arrows">
        <cfvo type="percent" val="0"/>
        <cfvo type="percent" val="33"/>
        <cfvo type="percent" val="67"/>
      </iconSet>
    </cfRule>
  </conditionalFormatting>
  <conditionalFormatting sqref="X32">
    <cfRule type="cellIs" dxfId="27" priority="29" operator="greaterThan">
      <formula>0</formula>
    </cfRule>
    <cfRule type="cellIs" dxfId="26" priority="30" operator="lessThan">
      <formula>0</formula>
    </cfRule>
  </conditionalFormatting>
  <conditionalFormatting sqref="X48">
    <cfRule type="cellIs" dxfId="25" priority="13" operator="greaterThan">
      <formula>0</formula>
    </cfRule>
    <cfRule type="cellIs" dxfId="24" priority="14" operator="lessThan">
      <formula>0</formula>
    </cfRule>
  </conditionalFormatting>
  <conditionalFormatting sqref="X49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X53">
    <cfRule type="cellIs" dxfId="23" priority="8" operator="greaterThan">
      <formula>0</formula>
    </cfRule>
    <cfRule type="cellIs" dxfId="22" priority="9" operator="lessThan">
      <formula>0</formula>
    </cfRule>
  </conditionalFormatting>
  <conditionalFormatting sqref="X70">
    <cfRule type="cellIs" dxfId="21" priority="3" operator="greaterThan">
      <formula>0</formula>
    </cfRule>
    <cfRule type="cellIs" dxfId="20" priority="4" operator="lessThan">
      <formula>0</formula>
    </cfRule>
  </conditionalFormatting>
  <conditionalFormatting sqref="X71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X75">
    <cfRule type="cellIs" dxfId="19" priority="1" operator="greaterThan">
      <formula>0</formula>
    </cfRule>
    <cfRule type="cellIs" dxfId="18" priority="2" operator="lessThan">
      <formula>0</formula>
    </cfRule>
  </conditionalFormatting>
  <conditionalFormatting sqref="AC38">
    <cfRule type="cellIs" dxfId="17" priority="25" operator="greaterThan">
      <formula>0</formula>
    </cfRule>
    <cfRule type="cellIs" dxfId="16" priority="26" operator="lessThan">
      <formula>0</formula>
    </cfRule>
  </conditionalFormatting>
  <conditionalFormatting sqref="AE38">
    <cfRule type="cellIs" dxfId="15" priority="23" operator="greaterThan">
      <formula>0</formula>
    </cfRule>
    <cfRule type="cellIs" dxfId="14" priority="24" operator="lessThan">
      <formula>0</formula>
    </cfRule>
  </conditionalFormatting>
  <conditionalFormatting sqref="AG38">
    <cfRule type="cellIs" dxfId="13" priority="21" operator="greaterThan">
      <formula>0</formula>
    </cfRule>
    <cfRule type="cellIs" dxfId="12" priority="22" operator="lessThan">
      <formula>0</formula>
    </cfRule>
  </conditionalFormatting>
  <conditionalFormatting sqref="AI38">
    <cfRule type="cellIs" dxfId="11" priority="19" operator="greaterThan">
      <formula>0</formula>
    </cfRule>
    <cfRule type="cellIs" dxfId="10" priority="20" operator="lessThan">
      <formula>0</formula>
    </cfRule>
  </conditionalFormatting>
  <conditionalFormatting sqref="AJ5">
    <cfRule type="cellIs" dxfId="9" priority="36" operator="greaterThan">
      <formula>0</formula>
    </cfRule>
    <cfRule type="cellIs" dxfId="8" priority="37" operator="lessThan">
      <formula>0</formula>
    </cfRule>
  </conditionalFormatting>
  <conditionalFormatting sqref="AJ6">
    <cfRule type="iconSet" priority="38">
      <iconSet iconSet="3Arrows">
        <cfvo type="percent" val="0"/>
        <cfvo type="percent" val="33"/>
        <cfvo type="percent" val="67"/>
      </iconSet>
    </cfRule>
  </conditionalFormatting>
  <conditionalFormatting sqref="AJ10">
    <cfRule type="cellIs" dxfId="7" priority="27" operator="greaterThan">
      <formula>0</formula>
    </cfRule>
    <cfRule type="cellIs" dxfId="6" priority="28" operator="lessThan">
      <formula>0</formula>
    </cfRule>
  </conditionalFormatting>
  <conditionalFormatting sqref="AJ27">
    <cfRule type="cellIs" dxfId="5" priority="33" operator="greaterThan">
      <formula>0</formula>
    </cfRule>
    <cfRule type="cellIs" dxfId="4" priority="34" operator="lessThan">
      <formula>0</formula>
    </cfRule>
  </conditionalFormatting>
  <conditionalFormatting sqref="AJ28">
    <cfRule type="iconSet" priority="35">
      <iconSet iconSet="3Arrows">
        <cfvo type="percent" val="0"/>
        <cfvo type="percent" val="33"/>
        <cfvo type="percent" val="67"/>
      </iconSet>
    </cfRule>
  </conditionalFormatting>
  <conditionalFormatting sqref="AJ48">
    <cfRule type="cellIs" dxfId="3" priority="10" operator="greaterThan">
      <formula>0</formula>
    </cfRule>
    <cfRule type="cellIs" dxfId="2" priority="11" operator="lessThan">
      <formula>0</formula>
    </cfRule>
  </conditionalFormatting>
  <conditionalFormatting sqref="AJ49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AJ53">
    <cfRule type="cellIs" dxfId="1" priority="6" operator="greaterThan">
      <formula>0</formula>
    </cfRule>
    <cfRule type="cellIs" dxfId="0" priority="7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4C23-F9C9-4960-9913-74D98B164000}">
  <sheetPr codeName="XLSTAT_20221004_132937_1_HID">
    <tabColor rgb="FF007800"/>
  </sheetPr>
  <dimension ref="A1:X100"/>
  <sheetViews>
    <sheetView workbookViewId="0">
      <selection activeCell="U1" sqref="U1"/>
    </sheetView>
  </sheetViews>
  <sheetFormatPr baseColWidth="10" defaultColWidth="11.44140625" defaultRowHeight="14.4"/>
  <sheetData>
    <row r="1" spans="1:24">
      <c r="A1">
        <v>1</v>
      </c>
      <c r="C1">
        <f t="shared" ref="C1:C32" si="0">1227.323+(A1-1)*23.5838260869565</f>
        <v>1227.3230000000001</v>
      </c>
      <c r="D1">
        <f t="shared" ref="D1:D32" si="1">-109437.657186102+1867.1220958413*C1-313318.788176791*(0.111111111111111+(C1-1989.99988888889)^2/1722930.22013289)^0.5</f>
        <v>1972242.8092269513</v>
      </c>
      <c r="E1">
        <v>1</v>
      </c>
      <c r="G1">
        <f t="shared" ref="G1:G32" si="2">1227.323+(E1-1)*23.5838260869565</f>
        <v>1227.3230000000001</v>
      </c>
      <c r="H1">
        <f t="shared" ref="H1:H32" si="3">-109437.657186102+1867.1220958413*G1+313318.788176791*(0.111111111111111+(G1-1989.99988888889)^2/1722930.22013289)^0.5</f>
        <v>2392005.660469309</v>
      </c>
      <c r="I1">
        <v>1</v>
      </c>
      <c r="K1">
        <f t="shared" ref="K1:K32" si="4">1227.323+(I1-1)*16.4372121212121</f>
        <v>1227.3230000000001</v>
      </c>
      <c r="L1">
        <f t="shared" ref="L1:L32" si="5">-109437.657186102+1867.1220958413*K1-313318.788176791*(1.11111111111111+(K1-1989.99988888889)^2/1722930.22013289)^0.5</f>
        <v>1805005.0549522368</v>
      </c>
      <c r="M1">
        <v>1</v>
      </c>
      <c r="O1">
        <f t="shared" ref="O1:O32" si="6">1227.323+(M1-1)*16.4372121212121</f>
        <v>1227.3230000000001</v>
      </c>
      <c r="P1">
        <f t="shared" ref="P1:P32" si="7">-109437.657186102+1867.1220958413*O1+313318.788176791*(1.11111111111111+(O1-1989.99988888889)^2/1722930.22013289)^0.5</f>
        <v>2559243.4147440232</v>
      </c>
      <c r="Q1">
        <v>1</v>
      </c>
      <c r="S1">
        <f t="shared" ref="S1:S32" si="8">2334041.13047858+(Q1-1)*52560.5747131752</f>
        <v>2334041.13047858</v>
      </c>
      <c r="T1">
        <f t="shared" ref="T1:T32" si="9">0+1*S1-313318.788176791*(1.11111111111111+(S1-3606135.10608007)^2/6006384435772.58)^0.5</f>
        <v>1965904.450157505</v>
      </c>
      <c r="U1">
        <v>1</v>
      </c>
      <c r="W1">
        <f t="shared" ref="W1:W32" si="10">1948255.2487191+(U1-1)*58151.6744488198</f>
        <v>1948255.2487190999</v>
      </c>
      <c r="X1">
        <f t="shared" ref="X1:X32" si="11">0+1*W1+313318.788176791*(1.11111111111111+(W1-3606135.10608007)^2/6006384435772.58)^0.5</f>
        <v>2340682.3034460614</v>
      </c>
    </row>
    <row r="2" spans="1:24">
      <c r="A2">
        <v>2</v>
      </c>
      <c r="C2">
        <f t="shared" si="0"/>
        <v>1250.9068260869567</v>
      </c>
      <c r="D2">
        <f t="shared" si="1"/>
        <v>2021140.5454120087</v>
      </c>
      <c r="E2">
        <v>2</v>
      </c>
      <c r="G2">
        <f t="shared" si="2"/>
        <v>1250.9068260869567</v>
      </c>
      <c r="H2">
        <f t="shared" si="3"/>
        <v>2431175.6898671212</v>
      </c>
      <c r="I2">
        <v>2</v>
      </c>
      <c r="K2">
        <f t="shared" si="4"/>
        <v>1243.7602121212121</v>
      </c>
      <c r="L2">
        <f t="shared" si="5"/>
        <v>1837573.671077573</v>
      </c>
      <c r="M2">
        <v>2</v>
      </c>
      <c r="O2">
        <f t="shared" si="6"/>
        <v>1243.7602121212121</v>
      </c>
      <c r="P2">
        <f t="shared" si="7"/>
        <v>2588055.3625097778</v>
      </c>
      <c r="Q2">
        <v>2</v>
      </c>
      <c r="S2">
        <f t="shared" si="8"/>
        <v>2386601.7051917552</v>
      </c>
      <c r="T2">
        <f t="shared" si="9"/>
        <v>2021383.721062002</v>
      </c>
      <c r="U2">
        <v>2</v>
      </c>
      <c r="W2">
        <f t="shared" si="10"/>
        <v>2006406.9231679197</v>
      </c>
      <c r="X2">
        <f t="shared" si="11"/>
        <v>2394869.0857539494</v>
      </c>
    </row>
    <row r="3" spans="1:24">
      <c r="A3">
        <v>3</v>
      </c>
      <c r="C3">
        <f t="shared" si="0"/>
        <v>1274.4906521739131</v>
      </c>
      <c r="D3">
        <f t="shared" si="1"/>
        <v>2069998.1476328955</v>
      </c>
      <c r="E3">
        <v>3</v>
      </c>
      <c r="G3">
        <f t="shared" si="2"/>
        <v>1274.4906521739131</v>
      </c>
      <c r="H3">
        <f t="shared" si="3"/>
        <v>2470385.8532291041</v>
      </c>
      <c r="I3">
        <v>3</v>
      </c>
      <c r="K3">
        <f t="shared" si="4"/>
        <v>1260.1974242424244</v>
      </c>
      <c r="L3">
        <f t="shared" si="5"/>
        <v>1870110.5065321513</v>
      </c>
      <c r="M3">
        <v>3</v>
      </c>
      <c r="O3">
        <f t="shared" si="6"/>
        <v>1260.1974242424244</v>
      </c>
      <c r="P3">
        <f t="shared" si="7"/>
        <v>2616899.0909462916</v>
      </c>
      <c r="Q3">
        <v>3</v>
      </c>
      <c r="S3">
        <f t="shared" si="8"/>
        <v>2439162.2799049304</v>
      </c>
      <c r="T3">
        <f t="shared" si="9"/>
        <v>2076761.8920972138</v>
      </c>
      <c r="U3">
        <v>3</v>
      </c>
      <c r="W3">
        <f t="shared" si="10"/>
        <v>2064558.5976167396</v>
      </c>
      <c r="X3">
        <f t="shared" si="11"/>
        <v>2449158.7131917779</v>
      </c>
    </row>
    <row r="4" spans="1:24">
      <c r="A4">
        <v>4</v>
      </c>
      <c r="C4">
        <f t="shared" si="0"/>
        <v>1298.0744782608697</v>
      </c>
      <c r="D4">
        <f t="shared" si="1"/>
        <v>2118812.6437810352</v>
      </c>
      <c r="E4">
        <v>4</v>
      </c>
      <c r="G4">
        <f t="shared" si="2"/>
        <v>1298.0744782608697</v>
      </c>
      <c r="H4">
        <f t="shared" si="3"/>
        <v>2509639.1226638351</v>
      </c>
      <c r="I4">
        <v>4</v>
      </c>
      <c r="K4">
        <f t="shared" si="4"/>
        <v>1276.6346363636364</v>
      </c>
      <c r="L4">
        <f t="shared" si="5"/>
        <v>1902615.0875169421</v>
      </c>
      <c r="M4">
        <v>4</v>
      </c>
      <c r="O4">
        <f t="shared" si="6"/>
        <v>1276.6346363636364</v>
      </c>
      <c r="P4">
        <f t="shared" si="7"/>
        <v>2645775.0738525912</v>
      </c>
      <c r="Q4">
        <v>4</v>
      </c>
      <c r="S4">
        <f t="shared" si="8"/>
        <v>2491722.8546181056</v>
      </c>
      <c r="T4">
        <f t="shared" si="9"/>
        <v>2132036.587362919</v>
      </c>
      <c r="U4">
        <v>4</v>
      </c>
      <c r="W4">
        <f t="shared" si="10"/>
        <v>2122710.2720655594</v>
      </c>
      <c r="X4">
        <f t="shared" si="11"/>
        <v>2503554.3145549111</v>
      </c>
    </row>
    <row r="5" spans="1:24">
      <c r="A5">
        <v>5</v>
      </c>
      <c r="C5">
        <f t="shared" si="0"/>
        <v>1321.6583043478261</v>
      </c>
      <c r="D5">
        <f t="shared" si="1"/>
        <v>2167580.7916234564</v>
      </c>
      <c r="E5">
        <v>5</v>
      </c>
      <c r="G5">
        <f t="shared" si="2"/>
        <v>1321.6583043478261</v>
      </c>
      <c r="H5">
        <f t="shared" si="3"/>
        <v>2548938.7404042827</v>
      </c>
      <c r="I5">
        <v>5</v>
      </c>
      <c r="K5">
        <f t="shared" si="4"/>
        <v>1293.0718484848485</v>
      </c>
      <c r="L5">
        <f t="shared" si="5"/>
        <v>1935086.9392925689</v>
      </c>
      <c r="M5">
        <v>5</v>
      </c>
      <c r="O5">
        <f t="shared" si="6"/>
        <v>1293.0718484848485</v>
      </c>
      <c r="P5">
        <f t="shared" si="7"/>
        <v>2674683.7859680555</v>
      </c>
      <c r="Q5">
        <v>5</v>
      </c>
      <c r="S5">
        <f t="shared" si="8"/>
        <v>2544283.4293312808</v>
      </c>
      <c r="T5">
        <f t="shared" si="9"/>
        <v>2187205.4473187253</v>
      </c>
      <c r="U5">
        <v>5</v>
      </c>
      <c r="W5">
        <f t="shared" si="10"/>
        <v>2180861.9465143792</v>
      </c>
      <c r="X5">
        <f t="shared" si="11"/>
        <v>2558059.0556747098</v>
      </c>
    </row>
    <row r="6" spans="1:24">
      <c r="A6">
        <v>6</v>
      </c>
      <c r="C6">
        <f t="shared" si="0"/>
        <v>1345.2421304347827</v>
      </c>
      <c r="D6">
        <f t="shared" si="1"/>
        <v>2216299.0519081294</v>
      </c>
      <c r="E6">
        <v>6</v>
      </c>
      <c r="G6">
        <f t="shared" si="2"/>
        <v>1345.2421304347827</v>
      </c>
      <c r="H6">
        <f t="shared" si="3"/>
        <v>2588288.2457024804</v>
      </c>
      <c r="I6">
        <v>6</v>
      </c>
      <c r="K6">
        <f t="shared" si="4"/>
        <v>1309.5090606060605</v>
      </c>
      <c r="L6">
        <f t="shared" si="5"/>
        <v>1967525.5865752378</v>
      </c>
      <c r="M6">
        <v>6</v>
      </c>
      <c r="O6">
        <f t="shared" si="6"/>
        <v>1309.5090606060605</v>
      </c>
      <c r="P6">
        <f t="shared" si="7"/>
        <v>2703625.7025764771</v>
      </c>
      <c r="Q6">
        <v>6</v>
      </c>
      <c r="S6">
        <f t="shared" si="8"/>
        <v>2596844.0040444559</v>
      </c>
      <c r="T6">
        <f t="shared" si="9"/>
        <v>2242266.136373966</v>
      </c>
      <c r="U6">
        <v>6</v>
      </c>
      <c r="W6">
        <f t="shared" si="10"/>
        <v>2239013.6209631991</v>
      </c>
      <c r="X6">
        <f t="shared" si="11"/>
        <v>2612676.1321657151</v>
      </c>
    </row>
    <row r="7" spans="1:24">
      <c r="A7">
        <v>7</v>
      </c>
      <c r="C7">
        <f t="shared" si="0"/>
        <v>1368.825956521739</v>
      </c>
      <c r="D7">
        <f t="shared" si="1"/>
        <v>2264963.559016542</v>
      </c>
      <c r="E7">
        <v>7</v>
      </c>
      <c r="G7">
        <f t="shared" si="2"/>
        <v>1368.825956521739</v>
      </c>
      <c r="H7">
        <f t="shared" si="3"/>
        <v>2627691.5041769375</v>
      </c>
      <c r="I7">
        <v>7</v>
      </c>
      <c r="K7">
        <f t="shared" si="4"/>
        <v>1325.9462727272726</v>
      </c>
      <c r="L7">
        <f t="shared" si="5"/>
        <v>1999930.5539512173</v>
      </c>
      <c r="M7">
        <v>7</v>
      </c>
      <c r="O7">
        <f t="shared" si="6"/>
        <v>1325.9462727272726</v>
      </c>
      <c r="P7">
        <f t="shared" si="7"/>
        <v>2732601.2990915892</v>
      </c>
      <c r="Q7">
        <v>7</v>
      </c>
      <c r="S7">
        <f t="shared" si="8"/>
        <v>2649404.5787576311</v>
      </c>
      <c r="T7">
        <f t="shared" si="9"/>
        <v>2297216.350869833</v>
      </c>
      <c r="U7">
        <v>7</v>
      </c>
      <c r="W7">
        <f t="shared" si="10"/>
        <v>2297165.2954120189</v>
      </c>
      <c r="X7">
        <f t="shared" si="11"/>
        <v>2667408.761333311</v>
      </c>
    </row>
    <row r="8" spans="1:24">
      <c r="A8">
        <v>8</v>
      </c>
      <c r="C8">
        <f t="shared" si="0"/>
        <v>1392.4097826086957</v>
      </c>
      <c r="D8">
        <f t="shared" si="1"/>
        <v>2313570.08909204</v>
      </c>
      <c r="E8">
        <v>8</v>
      </c>
      <c r="G8">
        <f t="shared" si="2"/>
        <v>1392.4097826086957</v>
      </c>
      <c r="H8">
        <f t="shared" si="3"/>
        <v>2667152.7396843093</v>
      </c>
      <c r="I8">
        <v>8</v>
      </c>
      <c r="K8">
        <f t="shared" si="4"/>
        <v>1342.3834848484848</v>
      </c>
      <c r="L8">
        <f t="shared" si="5"/>
        <v>2032301.3663097213</v>
      </c>
      <c r="M8">
        <v>8</v>
      </c>
      <c r="O8">
        <f t="shared" si="6"/>
        <v>1342.3834848484848</v>
      </c>
      <c r="P8">
        <f t="shared" si="7"/>
        <v>2761611.0506241769</v>
      </c>
      <c r="Q8">
        <v>8</v>
      </c>
      <c r="S8">
        <f t="shared" si="8"/>
        <v>2701965.1534708063</v>
      </c>
      <c r="T8">
        <f t="shared" si="9"/>
        <v>2352053.8274164083</v>
      </c>
      <c r="U8">
        <v>8</v>
      </c>
      <c r="W8">
        <f t="shared" si="10"/>
        <v>2355316.9698608387</v>
      </c>
      <c r="X8">
        <f t="shared" si="11"/>
        <v>2722260.1732270168</v>
      </c>
    </row>
    <row r="9" spans="1:24">
      <c r="A9">
        <v>9</v>
      </c>
      <c r="C9">
        <f t="shared" si="0"/>
        <v>1415.993608695652</v>
      </c>
      <c r="D9">
        <f t="shared" si="1"/>
        <v>2362114.0256361775</v>
      </c>
      <c r="E9">
        <v>9</v>
      </c>
      <c r="G9">
        <f t="shared" si="2"/>
        <v>1415.993608695652</v>
      </c>
      <c r="H9">
        <f t="shared" si="3"/>
        <v>2706676.5687230416</v>
      </c>
      <c r="I9">
        <v>9</v>
      </c>
      <c r="K9">
        <f t="shared" si="4"/>
        <v>1358.8206969696969</v>
      </c>
      <c r="L9">
        <f t="shared" si="5"/>
        <v>2064637.5492939772</v>
      </c>
      <c r="M9">
        <v>9</v>
      </c>
      <c r="O9">
        <f t="shared" si="6"/>
        <v>1358.8206969696969</v>
      </c>
      <c r="P9">
        <f t="shared" si="7"/>
        <v>2790655.4315310111</v>
      </c>
      <c r="Q9">
        <v>9</v>
      </c>
      <c r="S9">
        <f t="shared" si="8"/>
        <v>2754525.7281839815</v>
      </c>
      <c r="T9">
        <f t="shared" si="9"/>
        <v>2406776.3515390335</v>
      </c>
      <c r="U9">
        <v>9</v>
      </c>
      <c r="W9">
        <f t="shared" si="10"/>
        <v>2413468.6443096586</v>
      </c>
      <c r="X9">
        <f t="shared" si="11"/>
        <v>2777233.6008349322</v>
      </c>
    </row>
    <row r="10" spans="1:24">
      <c r="A10">
        <v>10</v>
      </c>
      <c r="C10">
        <f t="shared" si="0"/>
        <v>1439.5774347826086</v>
      </c>
      <c r="D10">
        <f t="shared" si="1"/>
        <v>2410590.3226583092</v>
      </c>
      <c r="E10">
        <v>10</v>
      </c>
      <c r="G10">
        <f t="shared" si="2"/>
        <v>1439.5774347826086</v>
      </c>
      <c r="H10">
        <f t="shared" si="3"/>
        <v>2746268.0372837796</v>
      </c>
      <c r="I10">
        <v>10</v>
      </c>
      <c r="K10">
        <f t="shared" si="4"/>
        <v>1375.2579090909089</v>
      </c>
      <c r="L10">
        <f t="shared" si="5"/>
        <v>2096938.6297701735</v>
      </c>
      <c r="M10">
        <v>10</v>
      </c>
      <c r="O10">
        <f t="shared" si="6"/>
        <v>1375.2579090909089</v>
      </c>
      <c r="P10">
        <f t="shared" si="7"/>
        <v>2819734.9149459065</v>
      </c>
      <c r="Q10">
        <v>10</v>
      </c>
      <c r="S10">
        <f t="shared" si="8"/>
        <v>2807086.3028971567</v>
      </c>
      <c r="T10">
        <f t="shared" si="9"/>
        <v>2461381.7665801509</v>
      </c>
      <c r="U10">
        <v>10</v>
      </c>
      <c r="W10">
        <f t="shared" si="10"/>
        <v>2471620.3187584784</v>
      </c>
      <c r="X10">
        <f t="shared" si="11"/>
        <v>2832332.2694268986</v>
      </c>
    </row>
    <row r="11" spans="1:24">
      <c r="A11">
        <v>11</v>
      </c>
      <c r="C11">
        <f t="shared" si="0"/>
        <v>1463.161260869565</v>
      </c>
      <c r="D11">
        <f t="shared" si="1"/>
        <v>2458993.4655945874</v>
      </c>
      <c r="E11">
        <v>11</v>
      </c>
      <c r="G11">
        <f t="shared" si="2"/>
        <v>1463.161260869565</v>
      </c>
      <c r="H11">
        <f t="shared" si="3"/>
        <v>2785932.6599303712</v>
      </c>
      <c r="I11">
        <v>11</v>
      </c>
      <c r="K11">
        <f t="shared" si="4"/>
        <v>1391.6951212121212</v>
      </c>
      <c r="L11">
        <f t="shared" si="5"/>
        <v>2129204.1363138733</v>
      </c>
      <c r="M11">
        <v>11</v>
      </c>
      <c r="O11">
        <f t="shared" si="6"/>
        <v>1391.6951212121212</v>
      </c>
      <c r="P11">
        <f t="shared" si="7"/>
        <v>2848849.9722932978</v>
      </c>
      <c r="Q11">
        <v>11</v>
      </c>
      <c r="S11">
        <f t="shared" si="8"/>
        <v>2859646.8776103319</v>
      </c>
      <c r="T11">
        <f t="shared" si="9"/>
        <v>2515867.9827945428</v>
      </c>
      <c r="U11">
        <v>11</v>
      </c>
      <c r="W11">
        <f t="shared" si="10"/>
        <v>2529771.9932072982</v>
      </c>
      <c r="X11">
        <f t="shared" si="11"/>
        <v>2887559.3850675761</v>
      </c>
    </row>
    <row r="12" spans="1:24">
      <c r="A12">
        <v>12</v>
      </c>
      <c r="C12">
        <f t="shared" si="0"/>
        <v>1486.7450869565216</v>
      </c>
      <c r="D12">
        <f t="shared" si="1"/>
        <v>2507317.4303919883</v>
      </c>
      <c r="E12">
        <v>12</v>
      </c>
      <c r="G12">
        <f t="shared" si="2"/>
        <v>1486.7450869565216</v>
      </c>
      <c r="H12">
        <f t="shared" si="3"/>
        <v>2825676.460715841</v>
      </c>
      <c r="I12">
        <v>12</v>
      </c>
      <c r="K12">
        <f t="shared" si="4"/>
        <v>1408.1323333333332</v>
      </c>
      <c r="L12">
        <f t="shared" si="5"/>
        <v>2161433.5997134056</v>
      </c>
      <c r="M12">
        <v>12</v>
      </c>
      <c r="O12">
        <f t="shared" si="6"/>
        <v>1408.1323333333332</v>
      </c>
      <c r="P12">
        <f t="shared" si="7"/>
        <v>2878001.0727848569</v>
      </c>
      <c r="Q12">
        <v>12</v>
      </c>
      <c r="S12">
        <f t="shared" si="8"/>
        <v>2912207.4523235071</v>
      </c>
      <c r="T12">
        <f t="shared" si="9"/>
        <v>2570232.9865679797</v>
      </c>
      <c r="U12">
        <v>12</v>
      </c>
      <c r="W12">
        <f t="shared" si="10"/>
        <v>2587923.6676561176</v>
      </c>
      <c r="X12">
        <f t="shared" si="11"/>
        <v>2942918.122335799</v>
      </c>
    </row>
    <row r="13" spans="1:24">
      <c r="A13">
        <v>13</v>
      </c>
      <c r="C13">
        <f t="shared" si="0"/>
        <v>1510.3289130434782</v>
      </c>
      <c r="D13">
        <f t="shared" si="1"/>
        <v>2555555.6413930375</v>
      </c>
      <c r="E13">
        <v>13</v>
      </c>
      <c r="G13">
        <f t="shared" si="2"/>
        <v>1510.3289130434782</v>
      </c>
      <c r="H13">
        <f t="shared" si="3"/>
        <v>2865506.0152976615</v>
      </c>
      <c r="I13">
        <v>13</v>
      </c>
      <c r="K13">
        <f t="shared" si="4"/>
        <v>1424.5695454545453</v>
      </c>
      <c r="L13">
        <f t="shared" si="5"/>
        <v>2193626.5534896255</v>
      </c>
      <c r="M13">
        <v>13</v>
      </c>
      <c r="O13">
        <f t="shared" si="6"/>
        <v>1424.5695454545453</v>
      </c>
      <c r="P13">
        <f t="shared" si="7"/>
        <v>2907188.6828997275</v>
      </c>
      <c r="Q13">
        <v>13</v>
      </c>
      <c r="S13">
        <f t="shared" si="8"/>
        <v>2964768.0270366827</v>
      </c>
      <c r="T13">
        <f t="shared" si="9"/>
        <v>2624474.8496819283</v>
      </c>
      <c r="U13">
        <v>13</v>
      </c>
      <c r="W13">
        <f t="shared" si="10"/>
        <v>2646075.3421049374</v>
      </c>
      <c r="X13">
        <f t="shared" si="11"/>
        <v>2998411.6113030557</v>
      </c>
    </row>
    <row r="14" spans="1:24">
      <c r="A14">
        <v>14</v>
      </c>
      <c r="C14">
        <f t="shared" si="0"/>
        <v>1533.9127391304346</v>
      </c>
      <c r="D14">
        <f t="shared" si="1"/>
        <v>2603700.9289709274</v>
      </c>
      <c r="E14">
        <v>14</v>
      </c>
      <c r="G14">
        <f t="shared" si="2"/>
        <v>1533.9127391304346</v>
      </c>
      <c r="H14">
        <f t="shared" si="3"/>
        <v>2905428.4933026414</v>
      </c>
      <c r="I14">
        <v>14</v>
      </c>
      <c r="K14">
        <f t="shared" si="4"/>
        <v>1441.0067575757573</v>
      </c>
      <c r="L14">
        <f t="shared" si="5"/>
        <v>2225782.5344313402</v>
      </c>
      <c r="M14">
        <v>14</v>
      </c>
      <c r="O14">
        <f t="shared" si="6"/>
        <v>1441.0067575757573</v>
      </c>
      <c r="P14">
        <f t="shared" si="7"/>
        <v>2936413.2658491042</v>
      </c>
      <c r="Q14">
        <v>14</v>
      </c>
      <c r="S14">
        <f t="shared" si="8"/>
        <v>3017328.6017498579</v>
      </c>
      <c r="T14">
        <f t="shared" si="9"/>
        <v>2678591.7385403542</v>
      </c>
      <c r="U14">
        <v>14</v>
      </c>
      <c r="W14">
        <f t="shared" si="10"/>
        <v>2704227.0165537572</v>
      </c>
      <c r="X14">
        <f t="shared" si="11"/>
        <v>3054042.9238415109</v>
      </c>
    </row>
    <row r="15" spans="1:24">
      <c r="A15">
        <v>15</v>
      </c>
      <c r="C15">
        <f t="shared" si="0"/>
        <v>1557.496565217391</v>
      </c>
      <c r="D15">
        <f t="shared" si="1"/>
        <v>2651745.4882660117</v>
      </c>
      <c r="E15">
        <v>15</v>
      </c>
      <c r="G15">
        <f t="shared" si="2"/>
        <v>1557.496565217391</v>
      </c>
      <c r="H15">
        <f t="shared" si="3"/>
        <v>2945451.6995904259</v>
      </c>
      <c r="I15">
        <v>15</v>
      </c>
      <c r="K15">
        <f t="shared" si="4"/>
        <v>1457.4439696969694</v>
      </c>
      <c r="L15">
        <f t="shared" si="5"/>
        <v>2257901.0831455798</v>
      </c>
      <c r="M15">
        <v>15</v>
      </c>
      <c r="O15">
        <f t="shared" si="6"/>
        <v>1457.4439696969694</v>
      </c>
      <c r="P15">
        <f t="shared" si="7"/>
        <v>2965675.281025955</v>
      </c>
      <c r="Q15">
        <v>15</v>
      </c>
      <c r="S15">
        <f t="shared" si="8"/>
        <v>3069889.1764630331</v>
      </c>
      <c r="T15">
        <f t="shared" si="9"/>
        <v>2732581.9232690991</v>
      </c>
      <c r="U15">
        <v>15</v>
      </c>
      <c r="W15">
        <f t="shared" si="10"/>
        <v>2762378.6910025771</v>
      </c>
      <c r="X15">
        <f t="shared" si="11"/>
        <v>3109815.0593502796</v>
      </c>
    </row>
    <row r="16" spans="1:24">
      <c r="A16">
        <v>16</v>
      </c>
      <c r="C16">
        <f t="shared" si="0"/>
        <v>1581.0803913043476</v>
      </c>
      <c r="D16">
        <f t="shared" si="1"/>
        <v>2699680.8408750491</v>
      </c>
      <c r="E16">
        <v>16</v>
      </c>
      <c r="G16">
        <f t="shared" si="2"/>
        <v>1581.0803913043476</v>
      </c>
      <c r="H16">
        <f t="shared" si="3"/>
        <v>2985584.1125642592</v>
      </c>
      <c r="I16">
        <v>16</v>
      </c>
      <c r="K16">
        <f t="shared" si="4"/>
        <v>1473.8811818181816</v>
      </c>
      <c r="L16">
        <f t="shared" si="5"/>
        <v>2289981.7446218044</v>
      </c>
      <c r="M16">
        <v>16</v>
      </c>
      <c r="O16">
        <f t="shared" si="6"/>
        <v>1473.8811818181816</v>
      </c>
      <c r="P16">
        <f t="shared" si="7"/>
        <v>2994975.1834408226</v>
      </c>
      <c r="Q16">
        <v>16</v>
      </c>
      <c r="S16">
        <f t="shared" si="8"/>
        <v>3122449.7511762083</v>
      </c>
      <c r="T16">
        <f t="shared" si="9"/>
        <v>2786443.7865939364</v>
      </c>
      <c r="U16">
        <v>16</v>
      </c>
      <c r="W16">
        <f t="shared" si="10"/>
        <v>2820530.3654513969</v>
      </c>
      <c r="X16">
        <f t="shared" si="11"/>
        <v>3165730.9300072901</v>
      </c>
    </row>
    <row r="17" spans="1:24">
      <c r="A17">
        <v>17</v>
      </c>
      <c r="C17">
        <f t="shared" si="0"/>
        <v>1604.6642173913042</v>
      </c>
      <c r="D17">
        <f t="shared" si="1"/>
        <v>2747497.8019507458</v>
      </c>
      <c r="E17">
        <v>17</v>
      </c>
      <c r="G17">
        <f t="shared" si="2"/>
        <v>1604.6642173913042</v>
      </c>
      <c r="H17">
        <f t="shared" si="3"/>
        <v>3025834.9170714333</v>
      </c>
      <c r="I17">
        <v>17</v>
      </c>
      <c r="K17">
        <f t="shared" si="4"/>
        <v>1490.3183939393937</v>
      </c>
      <c r="L17">
        <f t="shared" si="5"/>
        <v>2322024.0688089868</v>
      </c>
      <c r="M17">
        <v>17</v>
      </c>
      <c r="O17">
        <f t="shared" si="6"/>
        <v>1490.3183939393937</v>
      </c>
      <c r="P17">
        <f t="shared" si="7"/>
        <v>3024313.4231447307</v>
      </c>
      <c r="Q17">
        <v>17</v>
      </c>
      <c r="S17">
        <f t="shared" si="8"/>
        <v>3175010.3258893834</v>
      </c>
      <c r="T17">
        <f t="shared" si="9"/>
        <v>2840175.8324005967</v>
      </c>
      <c r="U17">
        <v>17</v>
      </c>
      <c r="W17">
        <f t="shared" si="10"/>
        <v>2878682.0399002167</v>
      </c>
      <c r="X17">
        <f t="shared" si="11"/>
        <v>3221793.3456724905</v>
      </c>
    </row>
    <row r="18" spans="1:24">
      <c r="A18">
        <v>18</v>
      </c>
      <c r="C18">
        <f t="shared" si="0"/>
        <v>1628.2480434782606</v>
      </c>
      <c r="D18">
        <f t="shared" si="1"/>
        <v>2795186.4558785222</v>
      </c>
      <c r="E18">
        <v>18</v>
      </c>
      <c r="G18">
        <f t="shared" si="2"/>
        <v>1628.2480434782606</v>
      </c>
      <c r="H18">
        <f t="shared" si="3"/>
        <v>3066214.0287265256</v>
      </c>
      <c r="I18">
        <v>18</v>
      </c>
      <c r="K18">
        <f t="shared" si="4"/>
        <v>1506.7556060606057</v>
      </c>
      <c r="L18">
        <f t="shared" si="5"/>
        <v>2354027.6112044519</v>
      </c>
      <c r="M18">
        <v>18</v>
      </c>
      <c r="O18">
        <f t="shared" si="6"/>
        <v>1506.7556060606057</v>
      </c>
      <c r="P18">
        <f t="shared" si="7"/>
        <v>3053690.444640357</v>
      </c>
      <c r="Q18">
        <v>18</v>
      </c>
      <c r="S18">
        <f t="shared" si="8"/>
        <v>3227570.9006025586</v>
      </c>
      <c r="T18">
        <f t="shared" si="9"/>
        <v>2893776.6938788267</v>
      </c>
      <c r="U18">
        <v>18</v>
      </c>
      <c r="W18">
        <f t="shared" si="10"/>
        <v>2936833.7143490366</v>
      </c>
      <c r="X18">
        <f t="shared" si="11"/>
        <v>3278004.9985858304</v>
      </c>
    </row>
    <row r="19" spans="1:24">
      <c r="A19">
        <v>19</v>
      </c>
      <c r="C19">
        <f t="shared" si="0"/>
        <v>1651.8318695652169</v>
      </c>
      <c r="D19">
        <f t="shared" si="1"/>
        <v>2842736.1444909275</v>
      </c>
      <c r="E19">
        <v>19</v>
      </c>
      <c r="G19">
        <f t="shared" si="2"/>
        <v>1651.8318695652169</v>
      </c>
      <c r="H19">
        <f t="shared" si="3"/>
        <v>3106732.1056969902</v>
      </c>
      <c r="I19">
        <v>19</v>
      </c>
      <c r="K19">
        <f t="shared" si="4"/>
        <v>1523.192818181818</v>
      </c>
      <c r="L19">
        <f t="shared" si="5"/>
        <v>2385991.9334531776</v>
      </c>
      <c r="M19">
        <v>19</v>
      </c>
      <c r="O19">
        <f t="shared" si="6"/>
        <v>1523.192818181818</v>
      </c>
      <c r="P19">
        <f t="shared" si="7"/>
        <v>3083106.6862827227</v>
      </c>
      <c r="Q19">
        <v>19</v>
      </c>
      <c r="S19">
        <f t="shared" si="8"/>
        <v>3280131.4753157338</v>
      </c>
      <c r="T19">
        <f t="shared" si="9"/>
        <v>2947245.1411532126</v>
      </c>
      <c r="U19">
        <v>19</v>
      </c>
      <c r="W19">
        <f t="shared" si="10"/>
        <v>2994985.3887978564</v>
      </c>
      <c r="X19">
        <f t="shared" si="11"/>
        <v>3334368.4480197215</v>
      </c>
    </row>
    <row r="20" spans="1:24">
      <c r="A20">
        <v>20</v>
      </c>
      <c r="C20">
        <f t="shared" si="0"/>
        <v>1675.4156956521736</v>
      </c>
      <c r="D20">
        <f t="shared" si="1"/>
        <v>2890135.4726139796</v>
      </c>
      <c r="E20">
        <v>20</v>
      </c>
      <c r="G20">
        <f t="shared" si="2"/>
        <v>1675.4156956521736</v>
      </c>
      <c r="H20">
        <f t="shared" si="3"/>
        <v>3147400.5431568078</v>
      </c>
      <c r="I20">
        <v>20</v>
      </c>
      <c r="K20">
        <f t="shared" si="4"/>
        <v>1539.63003030303</v>
      </c>
      <c r="L20">
        <f t="shared" si="5"/>
        <v>2417916.603956216</v>
      </c>
      <c r="M20">
        <v>20</v>
      </c>
      <c r="O20">
        <f t="shared" si="6"/>
        <v>1539.63003030303</v>
      </c>
      <c r="P20">
        <f t="shared" si="7"/>
        <v>3112562.5796707748</v>
      </c>
      <c r="Q20">
        <v>20</v>
      </c>
      <c r="S20">
        <f t="shared" si="8"/>
        <v>3332692.050028909</v>
      </c>
      <c r="T20">
        <f t="shared" si="9"/>
        <v>3000580.0883060568</v>
      </c>
      <c r="U20">
        <v>20</v>
      </c>
      <c r="W20">
        <f t="shared" si="10"/>
        <v>3053137.0632466762</v>
      </c>
      <c r="X20">
        <f t="shared" si="11"/>
        <v>3390886.1050599455</v>
      </c>
    </row>
    <row r="21" spans="1:24">
      <c r="A21">
        <v>21</v>
      </c>
      <c r="C21">
        <f t="shared" si="0"/>
        <v>1698.9995217391302</v>
      </c>
      <c r="D21">
        <f t="shared" si="1"/>
        <v>2937372.336535112</v>
      </c>
      <c r="E21">
        <v>21</v>
      </c>
      <c r="G21">
        <f t="shared" si="2"/>
        <v>1698.9995217391302</v>
      </c>
      <c r="H21">
        <f t="shared" si="3"/>
        <v>3188231.4448185461</v>
      </c>
      <c r="I21">
        <v>21</v>
      </c>
      <c r="K21">
        <f t="shared" si="4"/>
        <v>1556.0672424242421</v>
      </c>
      <c r="L21">
        <f t="shared" si="5"/>
        <v>2449801.1984867309</v>
      </c>
      <c r="M21">
        <v>21</v>
      </c>
      <c r="O21">
        <f t="shared" si="6"/>
        <v>1556.0672424242421</v>
      </c>
      <c r="P21">
        <f t="shared" si="7"/>
        <v>3142058.5490313512</v>
      </c>
      <c r="Q21">
        <v>21</v>
      </c>
      <c r="S21">
        <f t="shared" si="8"/>
        <v>3385252.6247420842</v>
      </c>
      <c r="T21">
        <f t="shared" si="9"/>
        <v>3053780.5997021962</v>
      </c>
      <c r="U21">
        <v>21</v>
      </c>
      <c r="W21">
        <f t="shared" si="10"/>
        <v>3111288.7376954961</v>
      </c>
      <c r="X21">
        <f t="shared" si="11"/>
        <v>3447560.2177004945</v>
      </c>
    </row>
    <row r="22" spans="1:24">
      <c r="A22">
        <v>22</v>
      </c>
      <c r="C22">
        <f t="shared" si="0"/>
        <v>1722.5833478260865</v>
      </c>
      <c r="D22">
        <f t="shared" si="1"/>
        <v>2984433.9816153944</v>
      </c>
      <c r="E22">
        <v>22</v>
      </c>
      <c r="G22">
        <f t="shared" si="2"/>
        <v>1722.5833478260865</v>
      </c>
      <c r="H22">
        <f t="shared" si="3"/>
        <v>3229237.5653211335</v>
      </c>
      <c r="I22">
        <v>22</v>
      </c>
      <c r="K22">
        <f t="shared" si="4"/>
        <v>1572.5044545454541</v>
      </c>
      <c r="L22">
        <f t="shared" si="5"/>
        <v>2481645.30081206</v>
      </c>
      <c r="M22">
        <v>22</v>
      </c>
      <c r="O22">
        <f t="shared" si="6"/>
        <v>1572.5044545454541</v>
      </c>
      <c r="P22">
        <f t="shared" si="7"/>
        <v>3171595.0105971126</v>
      </c>
      <c r="Q22">
        <v>22</v>
      </c>
      <c r="S22">
        <f t="shared" si="8"/>
        <v>3437813.1994552594</v>
      </c>
      <c r="T22">
        <f t="shared" si="9"/>
        <v>3106845.8955322127</v>
      </c>
      <c r="U22">
        <v>22</v>
      </c>
      <c r="W22">
        <f t="shared" si="10"/>
        <v>3169440.4121443154</v>
      </c>
      <c r="X22">
        <f t="shared" si="11"/>
        <v>3504392.8564460445</v>
      </c>
    </row>
    <row r="23" spans="1:24">
      <c r="A23">
        <v>23</v>
      </c>
      <c r="C23">
        <f t="shared" si="0"/>
        <v>1746.1671739130429</v>
      </c>
      <c r="D23">
        <f t="shared" si="1"/>
        <v>3031307.095563795</v>
      </c>
      <c r="E23">
        <v>23</v>
      </c>
      <c r="G23">
        <f t="shared" si="2"/>
        <v>1746.1671739130429</v>
      </c>
      <c r="H23">
        <f t="shared" si="3"/>
        <v>3270432.2169556017</v>
      </c>
      <c r="I23">
        <v>23</v>
      </c>
      <c r="K23">
        <f t="shared" si="4"/>
        <v>1588.9416666666662</v>
      </c>
      <c r="L23">
        <f t="shared" si="5"/>
        <v>2513448.5033201259</v>
      </c>
      <c r="M23">
        <v>23</v>
      </c>
      <c r="O23">
        <f t="shared" si="6"/>
        <v>1588.9416666666662</v>
      </c>
      <c r="P23">
        <f t="shared" si="7"/>
        <v>3201172.3719801381</v>
      </c>
      <c r="Q23">
        <v>23</v>
      </c>
      <c r="S23">
        <f t="shared" si="8"/>
        <v>3490373.7741684346</v>
      </c>
      <c r="T23">
        <f t="shared" si="9"/>
        <v>3159775.3564989907</v>
      </c>
      <c r="U23">
        <v>23</v>
      </c>
      <c r="W23">
        <f t="shared" si="10"/>
        <v>3227592.0865931353</v>
      </c>
      <c r="X23">
        <f t="shared" si="11"/>
        <v>3561385.9006200498</v>
      </c>
    </row>
    <row r="24" spans="1:24">
      <c r="A24">
        <v>24</v>
      </c>
      <c r="C24">
        <f t="shared" si="0"/>
        <v>1769.7509999999995</v>
      </c>
      <c r="D24">
        <f t="shared" si="1"/>
        <v>3077977.9436226944</v>
      </c>
      <c r="E24">
        <v>24</v>
      </c>
      <c r="G24">
        <f t="shared" si="2"/>
        <v>1769.7509999999995</v>
      </c>
      <c r="H24">
        <f t="shared" si="3"/>
        <v>3311829.134479573</v>
      </c>
      <c r="I24">
        <v>24</v>
      </c>
      <c r="K24">
        <f t="shared" si="4"/>
        <v>1605.3788787878784</v>
      </c>
      <c r="L24">
        <f t="shared" si="5"/>
        <v>2545210.4076483799</v>
      </c>
      <c r="M24">
        <v>24</v>
      </c>
      <c r="O24">
        <f t="shared" si="6"/>
        <v>1605.3788787878784</v>
      </c>
      <c r="P24">
        <f t="shared" si="7"/>
        <v>3230791.0315429755</v>
      </c>
      <c r="Q24">
        <v>24</v>
      </c>
      <c r="S24">
        <f t="shared" si="8"/>
        <v>3542934.3488816097</v>
      </c>
      <c r="T24">
        <f t="shared" si="9"/>
        <v>3212568.5275828671</v>
      </c>
      <c r="U24">
        <v>24</v>
      </c>
      <c r="W24">
        <f t="shared" si="10"/>
        <v>3285743.7610419551</v>
      </c>
      <c r="X24">
        <f t="shared" si="11"/>
        <v>3618541.0255763065</v>
      </c>
    </row>
    <row r="25" spans="1:24">
      <c r="A25">
        <v>25</v>
      </c>
      <c r="C25">
        <f t="shared" si="0"/>
        <v>1793.3348260869561</v>
      </c>
      <c r="D25">
        <f t="shared" si="1"/>
        <v>3124432.5508230636</v>
      </c>
      <c r="E25">
        <v>25</v>
      </c>
      <c r="G25">
        <f t="shared" si="2"/>
        <v>1793.3348260869561</v>
      </c>
      <c r="H25">
        <f t="shared" si="3"/>
        <v>3353442.2928620735</v>
      </c>
      <c r="I25">
        <v>25</v>
      </c>
      <c r="K25">
        <f t="shared" si="4"/>
        <v>1621.8160909090905</v>
      </c>
      <c r="L25">
        <f t="shared" si="5"/>
        <v>2576930.6253134101</v>
      </c>
      <c r="M25">
        <v>25</v>
      </c>
      <c r="O25">
        <f t="shared" si="6"/>
        <v>1621.8160909090905</v>
      </c>
      <c r="P25">
        <f t="shared" si="7"/>
        <v>3260451.3777690367</v>
      </c>
      <c r="Q25">
        <v>25</v>
      </c>
      <c r="S25">
        <f t="shared" si="8"/>
        <v>3595494.9235947849</v>
      </c>
      <c r="T25">
        <f t="shared" si="9"/>
        <v>3265225.1208324837</v>
      </c>
      <c r="U25">
        <v>25</v>
      </c>
      <c r="W25">
        <f t="shared" si="10"/>
        <v>3343895.4354907749</v>
      </c>
      <c r="X25">
        <f t="shared" si="11"/>
        <v>3675859.6910069976</v>
      </c>
    </row>
    <row r="26" spans="1:24">
      <c r="A26">
        <v>26</v>
      </c>
      <c r="C26">
        <f t="shared" si="0"/>
        <v>1816.9186521739125</v>
      </c>
      <c r="D26">
        <f t="shared" si="1"/>
        <v>3170656.934302968</v>
      </c>
      <c r="E26">
        <v>26</v>
      </c>
      <c r="G26">
        <f t="shared" si="2"/>
        <v>1816.9186521739125</v>
      </c>
      <c r="H26">
        <f t="shared" si="3"/>
        <v>3395285.6749650389</v>
      </c>
      <c r="I26">
        <v>26</v>
      </c>
      <c r="K26">
        <f t="shared" si="4"/>
        <v>1638.2533030303025</v>
      </c>
      <c r="L26">
        <f t="shared" si="5"/>
        <v>2608608.7783392351</v>
      </c>
      <c r="M26">
        <v>26</v>
      </c>
      <c r="O26">
        <f t="shared" si="6"/>
        <v>1638.2533030303025</v>
      </c>
      <c r="P26">
        <f t="shared" si="7"/>
        <v>3290153.7886343021</v>
      </c>
      <c r="Q26">
        <v>26</v>
      </c>
      <c r="S26">
        <f t="shared" si="8"/>
        <v>3648055.4983079601</v>
      </c>
      <c r="T26">
        <f t="shared" si="9"/>
        <v>3317745.0171416658</v>
      </c>
      <c r="U26">
        <v>26</v>
      </c>
      <c r="W26">
        <f t="shared" si="10"/>
        <v>3402047.1099395948</v>
      </c>
      <c r="X26">
        <f t="shared" si="11"/>
        <v>3733343.130530416</v>
      </c>
    </row>
    <row r="27" spans="1:24">
      <c r="A27">
        <v>27</v>
      </c>
      <c r="C27">
        <f t="shared" si="0"/>
        <v>1840.5024782608691</v>
      </c>
      <c r="D27">
        <f t="shared" si="1"/>
        <v>3216637.3852669951</v>
      </c>
      <c r="E27">
        <v>27</v>
      </c>
      <c r="G27">
        <f t="shared" si="2"/>
        <v>1840.5024782608691</v>
      </c>
      <c r="H27">
        <f t="shared" si="3"/>
        <v>3437372.9895838825</v>
      </c>
      <c r="I27">
        <v>27</v>
      </c>
      <c r="K27">
        <f t="shared" si="4"/>
        <v>1654.6905151515148</v>
      </c>
      <c r="L27">
        <f t="shared" si="5"/>
        <v>2640244.4998822417</v>
      </c>
      <c r="M27">
        <v>27</v>
      </c>
      <c r="O27">
        <f t="shared" si="6"/>
        <v>1654.6905151515148</v>
      </c>
      <c r="P27">
        <f t="shared" si="7"/>
        <v>3319898.6309823878</v>
      </c>
      <c r="Q27">
        <v>27</v>
      </c>
      <c r="S27">
        <f t="shared" si="8"/>
        <v>3700616.0730211353</v>
      </c>
      <c r="T27">
        <f t="shared" si="9"/>
        <v>3370128.266986825</v>
      </c>
      <c r="U27">
        <v>27</v>
      </c>
      <c r="W27">
        <f t="shared" si="10"/>
        <v>3460198.7843884146</v>
      </c>
      <c r="X27">
        <f t="shared" si="11"/>
        <v>3790992.3427267959</v>
      </c>
    </row>
    <row r="28" spans="1:24">
      <c r="A28">
        <v>28</v>
      </c>
      <c r="C28">
        <f t="shared" si="0"/>
        <v>1864.0863043478257</v>
      </c>
      <c r="D28">
        <f t="shared" si="1"/>
        <v>3262360.7954860013</v>
      </c>
      <c r="E28">
        <v>28</v>
      </c>
      <c r="G28">
        <f t="shared" si="2"/>
        <v>1864.0863043478257</v>
      </c>
      <c r="H28">
        <f t="shared" si="3"/>
        <v>3479717.344947746</v>
      </c>
      <c r="I28">
        <v>28</v>
      </c>
      <c r="K28">
        <f t="shared" si="4"/>
        <v>1671.1277272727268</v>
      </c>
      <c r="L28">
        <f t="shared" si="5"/>
        <v>2671837.4348506415</v>
      </c>
      <c r="M28">
        <v>28</v>
      </c>
      <c r="O28">
        <f t="shared" si="6"/>
        <v>1671.1277272727268</v>
      </c>
      <c r="P28">
        <f t="shared" si="7"/>
        <v>3349686.2599050784</v>
      </c>
      <c r="Q28">
        <v>28</v>
      </c>
      <c r="S28">
        <f t="shared" si="8"/>
        <v>3753176.6477343105</v>
      </c>
      <c r="T28">
        <f t="shared" si="9"/>
        <v>3422375.0901142801</v>
      </c>
      <c r="U28">
        <v>28</v>
      </c>
      <c r="W28">
        <f t="shared" si="10"/>
        <v>3518350.4588372344</v>
      </c>
      <c r="X28">
        <f t="shared" si="11"/>
        <v>3848808.0837712088</v>
      </c>
    </row>
    <row r="29" spans="1:24">
      <c r="A29">
        <v>29</v>
      </c>
      <c r="C29">
        <f t="shared" si="0"/>
        <v>1887.6701304347821</v>
      </c>
      <c r="D29">
        <f t="shared" si="1"/>
        <v>3307815.0175515907</v>
      </c>
      <c r="E29">
        <v>29</v>
      </c>
      <c r="G29">
        <f t="shared" si="2"/>
        <v>1887.6701304347821</v>
      </c>
      <c r="H29">
        <f t="shared" si="3"/>
        <v>3522330.8884650264</v>
      </c>
      <c r="I29">
        <v>29</v>
      </c>
      <c r="K29">
        <f t="shared" si="4"/>
        <v>1687.5649393939389</v>
      </c>
      <c r="L29">
        <f t="shared" si="5"/>
        <v>2703387.2405162933</v>
      </c>
      <c r="M29">
        <v>29</v>
      </c>
      <c r="O29">
        <f t="shared" si="6"/>
        <v>1687.5649393939389</v>
      </c>
      <c r="P29">
        <f t="shared" si="7"/>
        <v>3379517.018130518</v>
      </c>
      <c r="Q29">
        <v>29</v>
      </c>
      <c r="S29">
        <f t="shared" si="8"/>
        <v>3805737.2224474857</v>
      </c>
      <c r="T29">
        <f t="shared" si="9"/>
        <v>3474485.8741819914</v>
      </c>
      <c r="U29">
        <v>29</v>
      </c>
      <c r="W29">
        <f t="shared" si="10"/>
        <v>3576502.1332860542</v>
      </c>
      <c r="X29">
        <f t="shared" si="11"/>
        <v>3906790.8617885862</v>
      </c>
    </row>
    <row r="30" spans="1:24">
      <c r="A30">
        <v>30</v>
      </c>
      <c r="C30">
        <f t="shared" si="0"/>
        <v>1911.2539565217385</v>
      </c>
      <c r="D30">
        <f t="shared" si="1"/>
        <v>3352989.2420032332</v>
      </c>
      <c r="E30">
        <v>30</v>
      </c>
      <c r="G30">
        <f t="shared" si="2"/>
        <v>1911.2539565217385</v>
      </c>
      <c r="H30">
        <f t="shared" si="3"/>
        <v>3565224.4295962527</v>
      </c>
      <c r="I30">
        <v>30</v>
      </c>
      <c r="K30">
        <f t="shared" si="4"/>
        <v>1704.0021515151509</v>
      </c>
      <c r="L30">
        <f t="shared" si="5"/>
        <v>2734893.5871166512</v>
      </c>
      <c r="M30">
        <v>30</v>
      </c>
      <c r="O30">
        <f t="shared" si="6"/>
        <v>1704.0021515151509</v>
      </c>
      <c r="P30">
        <f t="shared" si="7"/>
        <v>3409391.2354212506</v>
      </c>
      <c r="Q30">
        <v>30</v>
      </c>
      <c r="S30">
        <f t="shared" si="8"/>
        <v>3858297.7971606608</v>
      </c>
      <c r="T30">
        <f t="shared" si="9"/>
        <v>3526461.172375239</v>
      </c>
      <c r="U30">
        <v>30</v>
      </c>
      <c r="W30">
        <f t="shared" si="10"/>
        <v>3634653.8077348741</v>
      </c>
      <c r="X30">
        <f t="shared" si="11"/>
        <v>3964940.933028331</v>
      </c>
    </row>
    <row r="31" spans="1:24">
      <c r="A31">
        <v>31</v>
      </c>
      <c r="C31">
        <f t="shared" si="0"/>
        <v>1934.8377826086951</v>
      </c>
      <c r="D31">
        <f t="shared" si="1"/>
        <v>3397874.368874616</v>
      </c>
      <c r="E31">
        <v>31</v>
      </c>
      <c r="G31">
        <f t="shared" si="2"/>
        <v>1934.8377826086951</v>
      </c>
      <c r="H31">
        <f t="shared" si="3"/>
        <v>3608407.0683077406</v>
      </c>
      <c r="I31">
        <v>31</v>
      </c>
      <c r="K31">
        <f t="shared" si="4"/>
        <v>1720.4393636363629</v>
      </c>
      <c r="L31">
        <f t="shared" si="5"/>
        <v>2766356.1584446104</v>
      </c>
      <c r="M31">
        <v>31</v>
      </c>
      <c r="O31">
        <f t="shared" si="6"/>
        <v>1720.4393636363629</v>
      </c>
      <c r="P31">
        <f t="shared" si="7"/>
        <v>3439309.2279843828</v>
      </c>
      <c r="Q31">
        <v>31</v>
      </c>
      <c r="S31">
        <f t="shared" si="8"/>
        <v>3910858.371873836</v>
      </c>
      <c r="T31">
        <f t="shared" si="9"/>
        <v>3578301.7000302877</v>
      </c>
      <c r="U31">
        <v>31</v>
      </c>
      <c r="W31">
        <f t="shared" si="10"/>
        <v>3692805.4821836939</v>
      </c>
      <c r="X31">
        <f t="shared" si="11"/>
        <v>4023258.2999253389</v>
      </c>
    </row>
    <row r="32" spans="1:24">
      <c r="A32">
        <v>32</v>
      </c>
      <c r="C32">
        <f t="shared" si="0"/>
        <v>1958.4216086956517</v>
      </c>
      <c r="D32">
        <f t="shared" si="1"/>
        <v>3442463.347322206</v>
      </c>
      <c r="E32">
        <v>32</v>
      </c>
      <c r="G32">
        <f t="shared" si="2"/>
        <v>1958.4216086956517</v>
      </c>
      <c r="H32">
        <f t="shared" si="3"/>
        <v>3651885.8554430213</v>
      </c>
      <c r="I32">
        <v>32</v>
      </c>
      <c r="K32">
        <f t="shared" si="4"/>
        <v>1736.8765757575752</v>
      </c>
      <c r="L32">
        <f t="shared" si="5"/>
        <v>2797774.652423962</v>
      </c>
      <c r="M32">
        <v>32</v>
      </c>
      <c r="O32">
        <f t="shared" si="6"/>
        <v>1736.8765757575752</v>
      </c>
      <c r="P32">
        <f t="shared" si="7"/>
        <v>3469271.2978961226</v>
      </c>
      <c r="Q32">
        <v>32</v>
      </c>
      <c r="S32">
        <f t="shared" si="8"/>
        <v>3963418.9465870112</v>
      </c>
      <c r="T32">
        <f t="shared" si="9"/>
        <v>3630008.3303137184</v>
      </c>
      <c r="U32">
        <v>32</v>
      </c>
      <c r="W32">
        <f t="shared" si="10"/>
        <v>3750957.1566325137</v>
      </c>
      <c r="X32">
        <f t="shared" si="11"/>
        <v>4081742.7110815416</v>
      </c>
    </row>
    <row r="33" spans="1:24">
      <c r="A33">
        <v>33</v>
      </c>
      <c r="C33">
        <f t="shared" ref="C33:C64" si="12">1227.323+(A33-1)*23.5838260869565</f>
        <v>1982.0054347826081</v>
      </c>
      <c r="D33">
        <f t="shared" ref="D33:D64" si="13">-109437.657186102+1867.1220958413*C33-313318.788176791*(0.111111111111111+(C33-1989.99988888889)^2/1722930.22013289)^0.5</f>
        <v>3486751.4559474997</v>
      </c>
      <c r="E33">
        <v>33</v>
      </c>
      <c r="G33">
        <f t="shared" ref="G33:G64" si="14">1227.323+(E33-1)*23.5838260869565</f>
        <v>1982.0054347826081</v>
      </c>
      <c r="H33">
        <f t="shared" ref="H33:H64" si="15">-109437.657186102+1867.1220958413*G33+313318.788176791*(0.111111111111111+(G33-1989.99988888889)^2/1722930.22013289)^0.5</f>
        <v>3695665.5124005964</v>
      </c>
      <c r="I33">
        <v>33</v>
      </c>
      <c r="K33">
        <f t="shared" ref="K33:K64" si="16">1227.323+(I33-1)*16.4372121212121</f>
        <v>1753.3137878787873</v>
      </c>
      <c r="L33">
        <f t="shared" ref="L33:L64" si="17">-109437.657186102+1867.1220958413*K33-313318.788176791*(1.11111111111111+(K33-1989.99988888889)^2/1722930.22013289)^0.5</f>
        <v>2829148.781668202</v>
      </c>
      <c r="M33">
        <v>33</v>
      </c>
      <c r="O33">
        <f t="shared" ref="O33:O64" si="18">1227.323+(M33-1)*16.4372121212121</f>
        <v>1753.3137878787873</v>
      </c>
      <c r="P33">
        <f t="shared" ref="P33:P64" si="19">-109437.657186102+1867.1220958413*O33+313318.788176791*(1.11111111111111+(O33-1989.99988888889)^2/1722930.22013289)^0.5</f>
        <v>3499277.732542973</v>
      </c>
      <c r="Q33">
        <v>33</v>
      </c>
      <c r="S33">
        <f t="shared" ref="S33:S64" si="20">2334041.13047858+(Q33-1)*52560.5747131752</f>
        <v>4015979.5213001864</v>
      </c>
      <c r="T33">
        <f t="shared" ref="T33:T64" si="21">0+1*S33-313318.788176791*(1.11111111111111+(S33-3606135.10608007)^2/6006384435772.58)^0.5</f>
        <v>3681582.0890175505</v>
      </c>
      <c r="U33">
        <v>33</v>
      </c>
      <c r="W33">
        <f t="shared" ref="W33:W64" si="22">1948255.2487191+(U33-1)*58151.6744488198</f>
        <v>3809108.8310813336</v>
      </c>
      <c r="X33">
        <f t="shared" ref="X33:X64" si="23">0+1*W33+313318.788176791*(1.11111111111111+(W33-3606135.10608007)^2/6006384435772.58)^0.5</f>
        <v>4140393.6631682999</v>
      </c>
    </row>
    <row r="34" spans="1:24">
      <c r="A34">
        <v>34</v>
      </c>
      <c r="C34">
        <f t="shared" si="12"/>
        <v>2005.5892608695644</v>
      </c>
      <c r="D34">
        <f t="shared" si="13"/>
        <v>3530736.498997672</v>
      </c>
      <c r="E34">
        <v>34</v>
      </c>
      <c r="G34">
        <f t="shared" si="14"/>
        <v>2005.5892608695644</v>
      </c>
      <c r="H34">
        <f t="shared" si="15"/>
        <v>3739748.2349332939</v>
      </c>
      <c r="I34">
        <v>34</v>
      </c>
      <c r="K34">
        <f t="shared" si="16"/>
        <v>1769.7509999999993</v>
      </c>
      <c r="L34">
        <f t="shared" si="17"/>
        <v>2860478.2740204125</v>
      </c>
      <c r="M34">
        <v>34</v>
      </c>
      <c r="O34">
        <f t="shared" si="18"/>
        <v>1769.7509999999993</v>
      </c>
      <c r="P34">
        <f t="shared" si="19"/>
        <v>3529328.8040818539</v>
      </c>
      <c r="Q34">
        <v>34</v>
      </c>
      <c r="S34">
        <f t="shared" si="20"/>
        <v>4068540.0960133616</v>
      </c>
      <c r="T34">
        <f t="shared" si="21"/>
        <v>3733024.1485412531</v>
      </c>
      <c r="U34">
        <v>34</v>
      </c>
      <c r="W34">
        <f t="shared" si="22"/>
        <v>3867260.5055301534</v>
      </c>
      <c r="X34">
        <f t="shared" si="23"/>
        <v>4199210.4047161732</v>
      </c>
    </row>
    <row r="35" spans="1:24">
      <c r="A35">
        <v>35</v>
      </c>
      <c r="C35">
        <f t="shared" si="12"/>
        <v>2029.173086956521</v>
      </c>
      <c r="D35">
        <f t="shared" si="13"/>
        <v>3574418.8999513164</v>
      </c>
      <c r="E35">
        <v>35</v>
      </c>
      <c r="G35">
        <f t="shared" si="14"/>
        <v>2029.173086956521</v>
      </c>
      <c r="H35">
        <f t="shared" si="15"/>
        <v>3784133.5995625192</v>
      </c>
      <c r="I35">
        <v>35</v>
      </c>
      <c r="K35">
        <f t="shared" si="16"/>
        <v>1786.1882121212116</v>
      </c>
      <c r="L35">
        <f t="shared" si="17"/>
        <v>2891762.8730719788</v>
      </c>
      <c r="M35">
        <v>35</v>
      </c>
      <c r="O35">
        <f t="shared" si="18"/>
        <v>1786.1882121212116</v>
      </c>
      <c r="P35">
        <f t="shared" si="19"/>
        <v>3559424.768921379</v>
      </c>
      <c r="Q35">
        <v>35</v>
      </c>
      <c r="S35">
        <f t="shared" si="20"/>
        <v>4121100.6707265368</v>
      </c>
      <c r="T35">
        <f t="shared" si="21"/>
        <v>3784335.8211409599</v>
      </c>
      <c r="U35">
        <v>35</v>
      </c>
      <c r="W35">
        <f t="shared" si="22"/>
        <v>3925412.1799789732</v>
      </c>
      <c r="X35">
        <f t="shared" si="23"/>
        <v>4258191.941725851</v>
      </c>
    </row>
    <row r="36" spans="1:24">
      <c r="A36">
        <v>36</v>
      </c>
      <c r="C36">
        <f t="shared" si="12"/>
        <v>2052.7569130434777</v>
      </c>
      <c r="D36">
        <f t="shared" si="13"/>
        <v>3617801.6833531917</v>
      </c>
      <c r="E36">
        <v>36</v>
      </c>
      <c r="G36">
        <f t="shared" si="14"/>
        <v>2052.7569130434777</v>
      </c>
      <c r="H36">
        <f t="shared" si="15"/>
        <v>3828818.5817435146</v>
      </c>
      <c r="I36">
        <v>36</v>
      </c>
      <c r="K36">
        <f t="shared" si="16"/>
        <v>1802.6254242424236</v>
      </c>
      <c r="L36">
        <f t="shared" si="17"/>
        <v>2923002.3386579505</v>
      </c>
      <c r="M36">
        <v>36</v>
      </c>
      <c r="O36">
        <f t="shared" si="18"/>
        <v>1802.6254242424236</v>
      </c>
      <c r="P36">
        <f t="shared" si="19"/>
        <v>3589565.8672264987</v>
      </c>
      <c r="Q36">
        <v>36</v>
      </c>
      <c r="S36">
        <f t="shared" si="20"/>
        <v>4173661.245439712</v>
      </c>
      <c r="T36">
        <f t="shared" si="21"/>
        <v>3835518.5515335901</v>
      </c>
      <c r="U36">
        <v>36</v>
      </c>
      <c r="W36">
        <f t="shared" si="22"/>
        <v>3983563.8544277931</v>
      </c>
      <c r="X36">
        <f t="shared" si="23"/>
        <v>4317337.0450033536</v>
      </c>
    </row>
    <row r="37" spans="1:24">
      <c r="A37">
        <v>37</v>
      </c>
      <c r="C37">
        <f t="shared" si="12"/>
        <v>2076.340739130434</v>
      </c>
      <c r="D37">
        <f t="shared" si="13"/>
        <v>3660890.3466869569</v>
      </c>
      <c r="E37">
        <v>37</v>
      </c>
      <c r="G37">
        <f t="shared" si="14"/>
        <v>2076.340739130434</v>
      </c>
      <c r="H37">
        <f t="shared" si="15"/>
        <v>3873797.6839926192</v>
      </c>
      <c r="I37">
        <v>37</v>
      </c>
      <c r="K37">
        <f t="shared" si="16"/>
        <v>1819.0626363636356</v>
      </c>
      <c r="L37">
        <f t="shared" si="17"/>
        <v>2954196.4473268916</v>
      </c>
      <c r="M37">
        <v>37</v>
      </c>
      <c r="O37">
        <f t="shared" si="18"/>
        <v>1819.0626363636356</v>
      </c>
      <c r="P37">
        <f t="shared" si="19"/>
        <v>3619752.322448648</v>
      </c>
      <c r="Q37">
        <v>37</v>
      </c>
      <c r="S37">
        <f t="shared" si="20"/>
        <v>4226221.8201528871</v>
      </c>
      <c r="T37">
        <f t="shared" si="21"/>
        <v>3886573.9089489672</v>
      </c>
      <c r="U37">
        <v>37</v>
      </c>
      <c r="W37">
        <f t="shared" si="22"/>
        <v>4041715.5288766129</v>
      </c>
      <c r="X37">
        <f t="shared" si="23"/>
        <v>4376644.2590949247</v>
      </c>
    </row>
    <row r="38" spans="1:24">
      <c r="A38">
        <v>38</v>
      </c>
      <c r="C38">
        <f t="shared" si="12"/>
        <v>2099.9245652173904</v>
      </c>
      <c r="D38">
        <f t="shared" si="13"/>
        <v>3703692.6346896049</v>
      </c>
      <c r="E38">
        <v>38</v>
      </c>
      <c r="G38">
        <f t="shared" si="14"/>
        <v>2099.9245652173904</v>
      </c>
      <c r="H38">
        <f t="shared" si="15"/>
        <v>3919063.1615728401</v>
      </c>
      <c r="I38">
        <v>38</v>
      </c>
      <c r="K38">
        <f t="shared" si="16"/>
        <v>1835.4998484848477</v>
      </c>
      <c r="L38">
        <f t="shared" si="17"/>
        <v>2985344.9927831572</v>
      </c>
      <c r="M38">
        <v>38</v>
      </c>
      <c r="O38">
        <f t="shared" si="18"/>
        <v>1835.4998484848477</v>
      </c>
      <c r="P38">
        <f t="shared" si="19"/>
        <v>3649984.3408834739</v>
      </c>
      <c r="Q38">
        <v>38</v>
      </c>
      <c r="S38">
        <f t="shared" si="20"/>
        <v>4278782.3948660623</v>
      </c>
      <c r="T38">
        <f t="shared" si="21"/>
        <v>3937503.5787264053</v>
      </c>
      <c r="U38">
        <v>38</v>
      </c>
      <c r="W38">
        <f t="shared" si="22"/>
        <v>4099867.2033254327</v>
      </c>
      <c r="X38">
        <f t="shared" si="23"/>
        <v>4436111.9126730934</v>
      </c>
    </row>
    <row r="39" spans="1:24">
      <c r="A39">
        <v>39</v>
      </c>
      <c r="C39">
        <f t="shared" si="12"/>
        <v>2123.5083913043472</v>
      </c>
      <c r="D39">
        <f t="shared" si="13"/>
        <v>3746218.2370196446</v>
      </c>
      <c r="E39">
        <v>39</v>
      </c>
      <c r="G39">
        <f t="shared" si="14"/>
        <v>2123.5083913043472</v>
      </c>
      <c r="H39">
        <f t="shared" si="15"/>
        <v>3964605.324825672</v>
      </c>
      <c r="I39">
        <v>39</v>
      </c>
      <c r="K39">
        <f t="shared" si="16"/>
        <v>1851.9370606060597</v>
      </c>
      <c r="L39">
        <f t="shared" si="17"/>
        <v>3016447.7862996012</v>
      </c>
      <c r="M39">
        <v>39</v>
      </c>
      <c r="O39">
        <f t="shared" si="18"/>
        <v>1851.9370606060597</v>
      </c>
      <c r="P39">
        <f t="shared" si="19"/>
        <v>3680262.1112581203</v>
      </c>
      <c r="Q39">
        <v>39</v>
      </c>
      <c r="S39">
        <f t="shared" si="20"/>
        <v>4331342.9695792375</v>
      </c>
      <c r="T39">
        <f t="shared" si="21"/>
        <v>3988309.3535536518</v>
      </c>
      <c r="U39">
        <v>39</v>
      </c>
      <c r="W39">
        <f t="shared" si="22"/>
        <v>4158018.8777742526</v>
      </c>
      <c r="X39">
        <f t="shared" si="23"/>
        <v>4495738.1302057886</v>
      </c>
    </row>
    <row r="40" spans="1:24">
      <c r="A40">
        <v>40</v>
      </c>
      <c r="C40">
        <f t="shared" si="12"/>
        <v>2147.0922173913036</v>
      </c>
      <c r="D40">
        <f t="shared" si="13"/>
        <v>3788478.4353425</v>
      </c>
      <c r="E40">
        <v>40</v>
      </c>
      <c r="G40">
        <f t="shared" si="14"/>
        <v>2147.0922173913036</v>
      </c>
      <c r="H40">
        <f t="shared" si="15"/>
        <v>4010412.8920856854</v>
      </c>
      <c r="I40">
        <v>40</v>
      </c>
      <c r="K40">
        <f t="shared" si="16"/>
        <v>1868.374272727272</v>
      </c>
      <c r="L40">
        <f t="shared" si="17"/>
        <v>3047504.6570988512</v>
      </c>
      <c r="M40">
        <v>40</v>
      </c>
      <c r="O40">
        <f t="shared" si="18"/>
        <v>1868.374272727272</v>
      </c>
      <c r="P40">
        <f t="shared" si="19"/>
        <v>3710585.8043499626</v>
      </c>
      <c r="Q40">
        <v>40</v>
      </c>
      <c r="S40">
        <f t="shared" si="20"/>
        <v>4383903.5442924127</v>
      </c>
      <c r="T40">
        <f t="shared" si="21"/>
        <v>4038993.1244456135</v>
      </c>
      <c r="U40">
        <v>40</v>
      </c>
      <c r="W40">
        <f t="shared" si="22"/>
        <v>4216170.5522230724</v>
      </c>
      <c r="X40">
        <f t="shared" si="23"/>
        <v>4555520.8447255529</v>
      </c>
    </row>
    <row r="41" spans="1:24">
      <c r="A41">
        <v>41</v>
      </c>
      <c r="C41">
        <f t="shared" si="12"/>
        <v>2170.67604347826</v>
      </c>
      <c r="D41">
        <f t="shared" si="13"/>
        <v>3830485.727251499</v>
      </c>
      <c r="E41">
        <v>41</v>
      </c>
      <c r="G41">
        <f t="shared" si="14"/>
        <v>2170.67604347826</v>
      </c>
      <c r="H41">
        <f t="shared" si="15"/>
        <v>4056473.3657595562</v>
      </c>
      <c r="I41">
        <v>41</v>
      </c>
      <c r="K41">
        <f t="shared" si="16"/>
        <v>1884.811484848484</v>
      </c>
      <c r="L41">
        <f t="shared" si="17"/>
        <v>3078515.4527013721</v>
      </c>
      <c r="M41">
        <v>41</v>
      </c>
      <c r="O41">
        <f t="shared" si="18"/>
        <v>1884.811484848484</v>
      </c>
      <c r="P41">
        <f t="shared" si="19"/>
        <v>3740955.5726385321</v>
      </c>
      <c r="Q41">
        <v>41</v>
      </c>
      <c r="S41">
        <f t="shared" si="20"/>
        <v>4436464.1190055879</v>
      </c>
      <c r="T41">
        <f t="shared" si="21"/>
        <v>4089556.8715580818</v>
      </c>
      <c r="U41">
        <v>41</v>
      </c>
      <c r="W41">
        <f t="shared" si="22"/>
        <v>4274322.2266718922</v>
      </c>
      <c r="X41">
        <f t="shared" si="23"/>
        <v>4615457.811505992</v>
      </c>
    </row>
    <row r="42" spans="1:24">
      <c r="A42">
        <v>42</v>
      </c>
      <c r="C42">
        <f t="shared" si="12"/>
        <v>2194.2598695652168</v>
      </c>
      <c r="D42">
        <f t="shared" si="13"/>
        <v>3872253.4523686473</v>
      </c>
      <c r="E42">
        <v>42</v>
      </c>
      <c r="G42">
        <f t="shared" si="14"/>
        <v>2194.2598695652168</v>
      </c>
      <c r="H42">
        <f t="shared" si="15"/>
        <v>4102773.4062252794</v>
      </c>
      <c r="I42">
        <v>42</v>
      </c>
      <c r="K42">
        <f t="shared" si="16"/>
        <v>1901.2486969696961</v>
      </c>
      <c r="L42">
        <f t="shared" si="17"/>
        <v>3109480.0392387058</v>
      </c>
      <c r="M42">
        <v>42</v>
      </c>
      <c r="O42">
        <f t="shared" si="18"/>
        <v>1901.2486969696961</v>
      </c>
      <c r="P42">
        <f t="shared" si="19"/>
        <v>3771371.5499922899</v>
      </c>
      <c r="Q42">
        <v>42</v>
      </c>
      <c r="S42">
        <f t="shared" si="20"/>
        <v>4489024.6937187631</v>
      </c>
      <c r="T42">
        <f t="shared" si="21"/>
        <v>4140002.6549279178</v>
      </c>
      <c r="U42">
        <v>42</v>
      </c>
      <c r="W42">
        <f t="shared" si="22"/>
        <v>4332473.9011207111</v>
      </c>
      <c r="X42">
        <f t="shared" si="23"/>
        <v>4675546.6224476453</v>
      </c>
    </row>
    <row r="43" spans="1:24">
      <c r="A43">
        <v>43</v>
      </c>
      <c r="C43">
        <f t="shared" si="12"/>
        <v>2217.8436956521732</v>
      </c>
      <c r="D43">
        <f t="shared" si="13"/>
        <v>3913795.4414103283</v>
      </c>
      <c r="E43">
        <v>43</v>
      </c>
      <c r="G43">
        <f t="shared" si="14"/>
        <v>2217.8436956521732</v>
      </c>
      <c r="H43">
        <f t="shared" si="15"/>
        <v>4149299.1827664673</v>
      </c>
      <c r="I43">
        <v>43</v>
      </c>
      <c r="K43">
        <f t="shared" si="16"/>
        <v>1917.6859090909084</v>
      </c>
      <c r="L43">
        <f t="shared" si="17"/>
        <v>3140398.3017303883</v>
      </c>
      <c r="M43">
        <v>43</v>
      </c>
      <c r="O43">
        <f t="shared" si="18"/>
        <v>1917.6859090909084</v>
      </c>
      <c r="P43">
        <f t="shared" si="19"/>
        <v>3801833.8513916987</v>
      </c>
      <c r="Q43">
        <v>43</v>
      </c>
      <c r="S43">
        <f t="shared" si="20"/>
        <v>4541585.2684319383</v>
      </c>
      <c r="T43">
        <f t="shared" si="21"/>
        <v>4190332.6052260417</v>
      </c>
      <c r="U43">
        <v>43</v>
      </c>
      <c r="W43">
        <f t="shared" si="22"/>
        <v>4390625.5755695309</v>
      </c>
      <c r="X43">
        <f t="shared" si="23"/>
        <v>4735784.7209752612</v>
      </c>
    </row>
    <row r="44" spans="1:24">
      <c r="A44">
        <v>44</v>
      </c>
      <c r="C44">
        <f t="shared" si="12"/>
        <v>2241.4275217391296</v>
      </c>
      <c r="D44">
        <f t="shared" si="13"/>
        <v>3955125.703142765</v>
      </c>
      <c r="E44">
        <v>44</v>
      </c>
      <c r="G44">
        <f t="shared" si="14"/>
        <v>2241.4275217391296</v>
      </c>
      <c r="H44">
        <f t="shared" si="15"/>
        <v>4196036.6866169004</v>
      </c>
      <c r="I44">
        <v>44</v>
      </c>
      <c r="K44">
        <f t="shared" si="16"/>
        <v>1934.1231212121204</v>
      </c>
      <c r="L44">
        <f t="shared" si="17"/>
        <v>3171270.1443232368</v>
      </c>
      <c r="M44">
        <v>44</v>
      </c>
      <c r="O44">
        <f t="shared" si="18"/>
        <v>1934.1231212121204</v>
      </c>
      <c r="P44">
        <f t="shared" si="19"/>
        <v>3832342.5726899407</v>
      </c>
      <c r="Q44">
        <v>44</v>
      </c>
      <c r="S44">
        <f t="shared" si="20"/>
        <v>4594145.8431451134</v>
      </c>
      <c r="T44">
        <f t="shared" si="21"/>
        <v>4240548.9146033702</v>
      </c>
      <c r="U44">
        <v>44</v>
      </c>
      <c r="W44">
        <f t="shared" si="22"/>
        <v>4448777.2500183508</v>
      </c>
      <c r="X44">
        <f t="shared" si="23"/>
        <v>4796169.4172526449</v>
      </c>
    </row>
    <row r="45" spans="1:24">
      <c r="A45">
        <v>45</v>
      </c>
      <c r="C45">
        <f t="shared" si="12"/>
        <v>2265.011347826086</v>
      </c>
      <c r="D45">
        <f t="shared" si="13"/>
        <v>3996258.1581011927</v>
      </c>
      <c r="E45">
        <v>45</v>
      </c>
      <c r="G45">
        <f t="shared" si="14"/>
        <v>2265.011347826086</v>
      </c>
      <c r="H45">
        <f t="shared" si="15"/>
        <v>4242971.9972413415</v>
      </c>
      <c r="I45">
        <v>45</v>
      </c>
      <c r="K45">
        <f t="shared" si="16"/>
        <v>1950.5603333333324</v>
      </c>
      <c r="L45">
        <f t="shared" si="17"/>
        <v>3202095.490491841</v>
      </c>
      <c r="M45">
        <v>45</v>
      </c>
      <c r="O45">
        <f t="shared" si="18"/>
        <v>1950.5603333333324</v>
      </c>
      <c r="P45">
        <f t="shared" si="19"/>
        <v>3862897.7904124279</v>
      </c>
      <c r="Q45">
        <v>45</v>
      </c>
      <c r="S45">
        <f t="shared" si="20"/>
        <v>4646706.4178582886</v>
      </c>
      <c r="T45">
        <f t="shared" si="21"/>
        <v>4290653.8277027356</v>
      </c>
      <c r="U45">
        <v>45</v>
      </c>
      <c r="W45">
        <f t="shared" si="22"/>
        <v>4506928.9244671706</v>
      </c>
      <c r="X45">
        <f t="shared" si="23"/>
        <v>4856697.9035294186</v>
      </c>
    </row>
    <row r="46" spans="1:24">
      <c r="A46">
        <v>46</v>
      </c>
      <c r="C46">
        <f t="shared" si="12"/>
        <v>2288.5951739130423</v>
      </c>
      <c r="D46">
        <f t="shared" si="13"/>
        <v>4037206.4225382297</v>
      </c>
      <c r="E46">
        <v>46</v>
      </c>
      <c r="G46">
        <f t="shared" si="14"/>
        <v>2288.5951739130423</v>
      </c>
      <c r="H46">
        <f t="shared" si="15"/>
        <v>4290091.4983871756</v>
      </c>
      <c r="I46">
        <v>46</v>
      </c>
      <c r="K46">
        <f t="shared" si="16"/>
        <v>1966.9975454545445</v>
      </c>
      <c r="L46">
        <f t="shared" si="17"/>
        <v>3232874.2831992921</v>
      </c>
      <c r="M46">
        <v>46</v>
      </c>
      <c r="O46">
        <f t="shared" si="18"/>
        <v>1966.9975454545445</v>
      </c>
      <c r="P46">
        <f t="shared" si="19"/>
        <v>3893499.5615960672</v>
      </c>
      <c r="Q46">
        <v>46</v>
      </c>
      <c r="S46">
        <f t="shared" si="20"/>
        <v>4699266.9925714638</v>
      </c>
      <c r="T46">
        <f t="shared" si="21"/>
        <v>4340649.6329021296</v>
      </c>
      <c r="U46">
        <v>46</v>
      </c>
      <c r="W46">
        <f t="shared" si="22"/>
        <v>4565080.5989159904</v>
      </c>
      <c r="X46">
        <f t="shared" si="23"/>
        <v>4917367.2694454538</v>
      </c>
    </row>
    <row r="47" spans="1:24">
      <c r="A47">
        <v>47</v>
      </c>
      <c r="C47">
        <f t="shared" si="12"/>
        <v>2312.1789999999992</v>
      </c>
      <c r="D47">
        <f t="shared" si="13"/>
        <v>4077983.6417819979</v>
      </c>
      <c r="E47">
        <v>47</v>
      </c>
      <c r="G47">
        <f t="shared" si="14"/>
        <v>2312.1789999999992</v>
      </c>
      <c r="H47">
        <f t="shared" si="15"/>
        <v>4337382.0447262777</v>
      </c>
      <c r="I47">
        <v>47</v>
      </c>
      <c r="K47">
        <f t="shared" si="16"/>
        <v>1983.4347575757565</v>
      </c>
      <c r="L47">
        <f t="shared" si="17"/>
        <v>3263606.485017363</v>
      </c>
      <c r="M47">
        <v>47</v>
      </c>
      <c r="O47">
        <f t="shared" si="18"/>
        <v>1983.4347575757565</v>
      </c>
      <c r="P47">
        <f t="shared" si="19"/>
        <v>3924147.9236690877</v>
      </c>
      <c r="Q47">
        <v>47</v>
      </c>
      <c r="S47">
        <f t="shared" si="20"/>
        <v>4751827.567284639</v>
      </c>
      <c r="T47">
        <f t="shared" si="21"/>
        <v>4390538.6538464678</v>
      </c>
      <c r="U47">
        <v>47</v>
      </c>
      <c r="W47">
        <f t="shared" si="22"/>
        <v>4623232.2733648103</v>
      </c>
      <c r="X47">
        <f t="shared" si="23"/>
        <v>4978174.5171330087</v>
      </c>
    </row>
    <row r="48" spans="1:24">
      <c r="A48">
        <v>48</v>
      </c>
      <c r="C48">
        <f t="shared" si="12"/>
        <v>2335.7628260869556</v>
      </c>
      <c r="D48">
        <f t="shared" si="13"/>
        <v>4118602.3691827422</v>
      </c>
      <c r="E48">
        <v>48</v>
      </c>
      <c r="G48">
        <f t="shared" si="14"/>
        <v>2335.7628260869556</v>
      </c>
      <c r="H48">
        <f t="shared" si="15"/>
        <v>4384831.0829084022</v>
      </c>
      <c r="I48">
        <v>48</v>
      </c>
      <c r="K48">
        <f t="shared" si="16"/>
        <v>1999.8719696969688</v>
      </c>
      <c r="L48">
        <f t="shared" si="17"/>
        <v>3294292.0782055478</v>
      </c>
      <c r="M48">
        <v>48</v>
      </c>
      <c r="O48">
        <f t="shared" si="18"/>
        <v>1999.8719696969688</v>
      </c>
      <c r="P48">
        <f t="shared" si="19"/>
        <v>3954842.8943719943</v>
      </c>
      <c r="Q48">
        <v>48</v>
      </c>
      <c r="S48">
        <f t="shared" si="20"/>
        <v>4804388.1419978142</v>
      </c>
      <c r="T48">
        <f t="shared" si="21"/>
        <v>4440323.2413168121</v>
      </c>
      <c r="U48">
        <v>48</v>
      </c>
      <c r="W48">
        <f t="shared" si="22"/>
        <v>4681383.9478136301</v>
      </c>
      <c r="X48">
        <f t="shared" si="23"/>
        <v>5039116.5759727787</v>
      </c>
    </row>
    <row r="49" spans="1:24">
      <c r="A49">
        <v>49</v>
      </c>
      <c r="C49">
        <f t="shared" si="12"/>
        <v>2359.3466521739119</v>
      </c>
      <c r="D49">
        <f t="shared" si="13"/>
        <v>4159074.4850323577</v>
      </c>
      <c r="E49">
        <v>49</v>
      </c>
      <c r="G49">
        <f t="shared" si="14"/>
        <v>2359.3466521739119</v>
      </c>
      <c r="H49">
        <f t="shared" si="15"/>
        <v>4432426.7326416569</v>
      </c>
      <c r="I49">
        <v>49</v>
      </c>
      <c r="K49">
        <f t="shared" si="16"/>
        <v>2016.3091818181808</v>
      </c>
      <c r="L49">
        <f t="shared" si="17"/>
        <v>3324931.0647485778</v>
      </c>
      <c r="M49">
        <v>49</v>
      </c>
      <c r="O49">
        <f t="shared" si="18"/>
        <v>2016.3091818181808</v>
      </c>
      <c r="P49">
        <f t="shared" si="19"/>
        <v>3985584.4717200557</v>
      </c>
      <c r="Q49">
        <v>49</v>
      </c>
      <c r="S49">
        <f t="shared" si="20"/>
        <v>4856948.7167109903</v>
      </c>
      <c r="T49">
        <f t="shared" si="21"/>
        <v>4490005.7654776899</v>
      </c>
      <c r="U49">
        <v>49</v>
      </c>
      <c r="W49">
        <f t="shared" si="22"/>
        <v>4739535.6222624499</v>
      </c>
      <c r="X49">
        <f t="shared" si="23"/>
        <v>5100190.3168777861</v>
      </c>
    </row>
    <row r="50" spans="1:24">
      <c r="A50">
        <v>50</v>
      </c>
      <c r="C50">
        <f t="shared" si="12"/>
        <v>2382.9304782608688</v>
      </c>
      <c r="D50">
        <f t="shared" si="13"/>
        <v>4199411.1490441477</v>
      </c>
      <c r="E50">
        <v>50</v>
      </c>
      <c r="G50">
        <f t="shared" si="14"/>
        <v>2382.9304782608688</v>
      </c>
      <c r="H50">
        <f t="shared" si="15"/>
        <v>4480157.8342127381</v>
      </c>
      <c r="I50">
        <v>50</v>
      </c>
      <c r="K50">
        <f t="shared" si="16"/>
        <v>2032.7463939393929</v>
      </c>
      <c r="L50">
        <f t="shared" si="17"/>
        <v>3355523.4663522216</v>
      </c>
      <c r="M50">
        <v>50</v>
      </c>
      <c r="O50">
        <f t="shared" si="18"/>
        <v>2032.7463939393929</v>
      </c>
      <c r="P50">
        <f t="shared" si="19"/>
        <v>4016372.6340075023</v>
      </c>
      <c r="Q50">
        <v>50</v>
      </c>
      <c r="S50">
        <f t="shared" si="20"/>
        <v>4909509.2914241645</v>
      </c>
      <c r="T50">
        <f t="shared" si="21"/>
        <v>4539588.608535056</v>
      </c>
      <c r="U50">
        <v>50</v>
      </c>
      <c r="W50">
        <f t="shared" si="22"/>
        <v>4797687.2967112698</v>
      </c>
      <c r="X50">
        <f t="shared" si="23"/>
        <v>5161392.5659973938</v>
      </c>
    </row>
    <row r="51" spans="1:24">
      <c r="A51">
        <v>51</v>
      </c>
      <c r="C51">
        <f t="shared" si="12"/>
        <v>2406.5143043478251</v>
      </c>
      <c r="D51">
        <f t="shared" si="13"/>
        <v>4239622.7799203321</v>
      </c>
      <c r="E51">
        <v>51</v>
      </c>
      <c r="G51">
        <f t="shared" si="14"/>
        <v>2406.5143043478251</v>
      </c>
      <c r="H51">
        <f t="shared" si="15"/>
        <v>4528013.9689194225</v>
      </c>
      <c r="I51">
        <v>51</v>
      </c>
      <c r="K51">
        <f t="shared" si="16"/>
        <v>2049.1836060606051</v>
      </c>
      <c r="L51">
        <f t="shared" si="17"/>
        <v>3386069.3243973972</v>
      </c>
      <c r="M51">
        <v>51</v>
      </c>
      <c r="O51">
        <f t="shared" si="18"/>
        <v>2049.1836060606051</v>
      </c>
      <c r="P51">
        <f t="shared" si="19"/>
        <v>4047207.339853419</v>
      </c>
      <c r="Q51">
        <v>51</v>
      </c>
      <c r="S51">
        <f t="shared" si="20"/>
        <v>4962069.8661373407</v>
      </c>
      <c r="T51">
        <f t="shared" si="21"/>
        <v>4589074.157829741</v>
      </c>
      <c r="U51">
        <v>51</v>
      </c>
      <c r="W51">
        <f t="shared" si="22"/>
        <v>4855838.9711600896</v>
      </c>
      <c r="X51">
        <f t="shared" si="23"/>
        <v>5222720.1177523928</v>
      </c>
    </row>
    <row r="52" spans="1:24">
      <c r="A52">
        <v>52</v>
      </c>
      <c r="C52">
        <f t="shared" si="12"/>
        <v>2430.0981304347815</v>
      </c>
      <c r="D52">
        <f t="shared" si="13"/>
        <v>4279719.0559611153</v>
      </c>
      <c r="E52">
        <v>52</v>
      </c>
      <c r="G52">
        <f t="shared" si="14"/>
        <v>2430.0981304347815</v>
      </c>
      <c r="H52">
        <f t="shared" si="15"/>
        <v>4575985.4584615082</v>
      </c>
      <c r="I52">
        <v>52</v>
      </c>
      <c r="K52">
        <f t="shared" si="16"/>
        <v>2065.6208181818174</v>
      </c>
      <c r="L52">
        <f t="shared" si="17"/>
        <v>3416568.6998528112</v>
      </c>
      <c r="M52">
        <v>52</v>
      </c>
      <c r="O52">
        <f t="shared" si="18"/>
        <v>2065.6208181818174</v>
      </c>
      <c r="P52">
        <f t="shared" si="19"/>
        <v>4078088.5282890964</v>
      </c>
      <c r="Q52">
        <v>52</v>
      </c>
      <c r="S52">
        <f t="shared" si="20"/>
        <v>5014630.4408505149</v>
      </c>
      <c r="T52">
        <f t="shared" si="21"/>
        <v>4638464.7993838415</v>
      </c>
      <c r="U52">
        <v>52</v>
      </c>
      <c r="W52">
        <f t="shared" si="22"/>
        <v>4913990.6456089094</v>
      </c>
      <c r="X52">
        <f t="shared" si="23"/>
        <v>5284169.7471303958</v>
      </c>
    </row>
    <row r="53" spans="1:24">
      <c r="A53">
        <v>53</v>
      </c>
      <c r="C53">
        <f t="shared" si="12"/>
        <v>2453.6819565217384</v>
      </c>
      <c r="D53">
        <f t="shared" si="13"/>
        <v>4319708.9313710006</v>
      </c>
      <c r="E53">
        <v>53</v>
      </c>
      <c r="G53">
        <f t="shared" si="14"/>
        <v>2453.6819565217384</v>
      </c>
      <c r="H53">
        <f t="shared" si="15"/>
        <v>4624063.3486344954</v>
      </c>
      <c r="I53">
        <v>53</v>
      </c>
      <c r="K53">
        <f t="shared" si="16"/>
        <v>2082.0580303030292</v>
      </c>
      <c r="L53">
        <f t="shared" si="17"/>
        <v>3447021.6731465743</v>
      </c>
      <c r="M53">
        <v>53</v>
      </c>
      <c r="O53">
        <f t="shared" si="18"/>
        <v>2082.0580303030292</v>
      </c>
      <c r="P53">
        <f t="shared" si="19"/>
        <v>4109016.1188864238</v>
      </c>
      <c r="Q53">
        <v>53</v>
      </c>
      <c r="S53">
        <f t="shared" si="20"/>
        <v>5067191.015563691</v>
      </c>
      <c r="T53">
        <f t="shared" si="21"/>
        <v>4687762.9119108589</v>
      </c>
      <c r="U53">
        <v>53</v>
      </c>
      <c r="W53">
        <f t="shared" si="22"/>
        <v>4972142.3200577293</v>
      </c>
      <c r="X53">
        <f t="shared" si="23"/>
        <v>5345738.221188359</v>
      </c>
    </row>
    <row r="54" spans="1:24">
      <c r="A54">
        <v>54</v>
      </c>
      <c r="C54">
        <f t="shared" si="12"/>
        <v>2477.2657826086943</v>
      </c>
      <c r="D54">
        <f t="shared" si="13"/>
        <v>4359600.6637370428</v>
      </c>
      <c r="E54">
        <v>54</v>
      </c>
      <c r="G54">
        <f t="shared" si="14"/>
        <v>2477.2657826086943</v>
      </c>
      <c r="H54">
        <f t="shared" si="15"/>
        <v>4672239.3818513202</v>
      </c>
      <c r="I54">
        <v>54</v>
      </c>
      <c r="K54">
        <f t="shared" si="16"/>
        <v>2098.495242424241</v>
      </c>
      <c r="L54">
        <f t="shared" si="17"/>
        <v>3477428.3439973984</v>
      </c>
      <c r="M54">
        <v>54</v>
      </c>
      <c r="O54">
        <f t="shared" si="18"/>
        <v>2098.495242424241</v>
      </c>
      <c r="P54">
        <f t="shared" si="19"/>
        <v>4139990.0119266892</v>
      </c>
      <c r="Q54">
        <v>54</v>
      </c>
      <c r="S54">
        <f t="shared" si="20"/>
        <v>5119751.5902768653</v>
      </c>
      <c r="T54">
        <f t="shared" si="21"/>
        <v>4736970.8612941522</v>
      </c>
      <c r="U54">
        <v>54</v>
      </c>
      <c r="W54">
        <f t="shared" si="22"/>
        <v>5030293.9945065491</v>
      </c>
      <c r="X54">
        <f t="shared" si="23"/>
        <v>5407422.3097255742</v>
      </c>
    </row>
    <row r="55" spans="1:24">
      <c r="A55">
        <v>55</v>
      </c>
      <c r="C55">
        <f t="shared" si="12"/>
        <v>2500.8496086956511</v>
      </c>
      <c r="D55">
        <f t="shared" si="13"/>
        <v>4399401.8489812743</v>
      </c>
      <c r="E55">
        <v>55</v>
      </c>
      <c r="G55">
        <f t="shared" si="14"/>
        <v>2500.8496086956511</v>
      </c>
      <c r="H55">
        <f t="shared" si="15"/>
        <v>4720505.9621899594</v>
      </c>
      <c r="I55">
        <v>55</v>
      </c>
      <c r="K55">
        <f t="shared" si="16"/>
        <v>2114.9324545454533</v>
      </c>
      <c r="L55">
        <f t="shared" si="17"/>
        <v>3507788.8312062207</v>
      </c>
      <c r="M55">
        <v>55</v>
      </c>
      <c r="O55">
        <f t="shared" si="18"/>
        <v>2114.9324545454533</v>
      </c>
      <c r="P55">
        <f t="shared" si="19"/>
        <v>4171010.0886089592</v>
      </c>
      <c r="Q55">
        <v>55</v>
      </c>
      <c r="S55">
        <f t="shared" si="20"/>
        <v>5172312.1649900414</v>
      </c>
      <c r="T55">
        <f t="shared" si="21"/>
        <v>4786090.9955328321</v>
      </c>
      <c r="U55">
        <v>55</v>
      </c>
      <c r="W55">
        <f t="shared" si="22"/>
        <v>5088445.6689553689</v>
      </c>
      <c r="X55">
        <f t="shared" si="23"/>
        <v>5469218.7951056454</v>
      </c>
    </row>
    <row r="56" spans="1:24">
      <c r="A56">
        <v>56</v>
      </c>
      <c r="C56">
        <f t="shared" si="12"/>
        <v>2524.4334347826075</v>
      </c>
      <c r="D56">
        <f t="shared" si="13"/>
        <v>4439119.460859308</v>
      </c>
      <c r="E56">
        <v>56</v>
      </c>
      <c r="G56">
        <f t="shared" si="14"/>
        <v>2524.4334347826075</v>
      </c>
      <c r="H56">
        <f t="shared" si="15"/>
        <v>4768856.1158947963</v>
      </c>
      <c r="I56">
        <v>56</v>
      </c>
      <c r="K56">
        <f t="shared" si="16"/>
        <v>2131.3696666666656</v>
      </c>
      <c r="L56">
        <f t="shared" si="17"/>
        <v>3538103.2724092398</v>
      </c>
      <c r="M56">
        <v>56</v>
      </c>
      <c r="O56">
        <f t="shared" si="18"/>
        <v>2131.3696666666656</v>
      </c>
      <c r="P56">
        <f t="shared" si="19"/>
        <v>4202076.2112970315</v>
      </c>
      <c r="Q56">
        <v>56</v>
      </c>
      <c r="S56">
        <f t="shared" si="20"/>
        <v>5224872.7397032157</v>
      </c>
      <c r="T56">
        <f t="shared" si="21"/>
        <v>4835125.6401493456</v>
      </c>
      <c r="U56">
        <v>56</v>
      </c>
      <c r="W56">
        <f t="shared" si="22"/>
        <v>5146597.3434041888</v>
      </c>
      <c r="X56">
        <f t="shared" si="23"/>
        <v>5531124.4812196475</v>
      </c>
    </row>
    <row r="57" spans="1:24">
      <c r="A57">
        <v>57</v>
      </c>
      <c r="C57">
        <f t="shared" si="12"/>
        <v>2548.0172608695639</v>
      </c>
      <c r="D57">
        <f t="shared" si="13"/>
        <v>4478759.8927544644</v>
      </c>
      <c r="E57">
        <v>57</v>
      </c>
      <c r="G57">
        <f t="shared" si="14"/>
        <v>2548.0172608695639</v>
      </c>
      <c r="H57">
        <f t="shared" si="15"/>
        <v>4817283.4495825088</v>
      </c>
      <c r="I57">
        <v>57</v>
      </c>
      <c r="K57">
        <f t="shared" si="16"/>
        <v>2147.8068787878774</v>
      </c>
      <c r="L57">
        <f t="shared" si="17"/>
        <v>3568371.8237935863</v>
      </c>
      <c r="M57">
        <v>57</v>
      </c>
      <c r="O57">
        <f t="shared" si="18"/>
        <v>2147.8068787878774</v>
      </c>
      <c r="P57">
        <f t="shared" si="19"/>
        <v>4233188.2238037745</v>
      </c>
      <c r="Q57">
        <v>57</v>
      </c>
      <c r="S57">
        <f t="shared" si="20"/>
        <v>5277433.3144163918</v>
      </c>
      <c r="T57">
        <f t="shared" si="21"/>
        <v>4884077.0940488763</v>
      </c>
      <c r="U57">
        <v>57</v>
      </c>
      <c r="W57">
        <f t="shared" si="22"/>
        <v>5204749.0178530086</v>
      </c>
      <c r="X57">
        <f t="shared" si="23"/>
        <v>5593136.201594728</v>
      </c>
    </row>
    <row r="58" spans="1:24">
      <c r="A58">
        <v>58</v>
      </c>
      <c r="C58">
        <f t="shared" si="12"/>
        <v>2571.6010869565207</v>
      </c>
      <c r="D58">
        <f t="shared" si="13"/>
        <v>4518329.0000885529</v>
      </c>
      <c r="E58">
        <v>58</v>
      </c>
      <c r="G58">
        <f t="shared" si="14"/>
        <v>2571.6010869565207</v>
      </c>
      <c r="H58">
        <f t="shared" si="15"/>
        <v>4865782.1078312909</v>
      </c>
      <c r="I58">
        <v>58</v>
      </c>
      <c r="K58">
        <f t="shared" si="16"/>
        <v>2164.2440909090897</v>
      </c>
      <c r="L58">
        <f t="shared" si="17"/>
        <v>3598594.659776954</v>
      </c>
      <c r="M58">
        <v>58</v>
      </c>
      <c r="O58">
        <f t="shared" si="18"/>
        <v>2164.2440909090897</v>
      </c>
      <c r="P58">
        <f t="shared" si="19"/>
        <v>4264345.9517114991</v>
      </c>
      <c r="Q58">
        <v>58</v>
      </c>
      <c r="S58">
        <f t="shared" si="20"/>
        <v>5329993.889129566</v>
      </c>
      <c r="T58">
        <f t="shared" si="21"/>
        <v>4932947.6258171098</v>
      </c>
      <c r="U58">
        <v>58</v>
      </c>
      <c r="W58">
        <f t="shared" si="22"/>
        <v>5262900.6923018284</v>
      </c>
      <c r="X58">
        <f t="shared" si="23"/>
        <v>5655250.8266628096</v>
      </c>
    </row>
    <row r="59" spans="1:24">
      <c r="A59">
        <v>59</v>
      </c>
      <c r="C59">
        <f t="shared" si="12"/>
        <v>2595.1849130434771</v>
      </c>
      <c r="D59">
        <f t="shared" si="13"/>
        <v>4557832.1421378376</v>
      </c>
      <c r="E59">
        <v>59</v>
      </c>
      <c r="G59">
        <f t="shared" si="14"/>
        <v>2595.1849130434771</v>
      </c>
      <c r="H59">
        <f t="shared" si="15"/>
        <v>4914346.731364877</v>
      </c>
      <c r="I59">
        <v>59</v>
      </c>
      <c r="K59">
        <f t="shared" si="16"/>
        <v>2180.6813030303019</v>
      </c>
      <c r="L59">
        <f t="shared" si="17"/>
        <v>3628771.972652711</v>
      </c>
      <c r="M59">
        <v>59</v>
      </c>
      <c r="O59">
        <f t="shared" si="18"/>
        <v>2180.6813030303019</v>
      </c>
      <c r="P59">
        <f t="shared" si="19"/>
        <v>4295549.2027268335</v>
      </c>
      <c r="Q59">
        <v>59</v>
      </c>
      <c r="S59">
        <f t="shared" si="20"/>
        <v>5382554.4638427421</v>
      </c>
      <c r="T59">
        <f t="shared" si="21"/>
        <v>4981739.4704401065</v>
      </c>
      <c r="U59">
        <v>59</v>
      </c>
      <c r="W59">
        <f t="shared" si="22"/>
        <v>5321052.3667506482</v>
      </c>
      <c r="X59">
        <f t="shared" si="23"/>
        <v>5717465.27021283</v>
      </c>
    </row>
    <row r="60" spans="1:24">
      <c r="A60">
        <v>60</v>
      </c>
      <c r="C60">
        <f t="shared" si="12"/>
        <v>2618.7687391304335</v>
      </c>
      <c r="D60">
        <f t="shared" si="13"/>
        <v>4597274.2224145709</v>
      </c>
      <c r="E60">
        <v>60</v>
      </c>
      <c r="G60">
        <f t="shared" si="14"/>
        <v>2618.7687391304335</v>
      </c>
      <c r="H60">
        <f t="shared" si="15"/>
        <v>4962972.4166710125</v>
      </c>
      <c r="I60">
        <v>60</v>
      </c>
      <c r="K60">
        <f t="shared" si="16"/>
        <v>2197.1185151515137</v>
      </c>
      <c r="L60">
        <f t="shared" si="17"/>
        <v>3658903.9722021641</v>
      </c>
      <c r="M60">
        <v>60</v>
      </c>
      <c r="O60">
        <f t="shared" si="18"/>
        <v>2197.1185151515137</v>
      </c>
      <c r="P60">
        <f t="shared" si="19"/>
        <v>4326797.7670684708</v>
      </c>
      <c r="Q60">
        <v>60</v>
      </c>
      <c r="S60">
        <f t="shared" si="20"/>
        <v>5435115.0385559164</v>
      </c>
      <c r="T60">
        <f t="shared" si="21"/>
        <v>5030454.8264276078</v>
      </c>
      <c r="U60">
        <v>60</v>
      </c>
      <c r="W60">
        <f t="shared" si="22"/>
        <v>5379204.0411994681</v>
      </c>
      <c r="X60">
        <f t="shared" si="23"/>
        <v>5779776.4950571116</v>
      </c>
    </row>
    <row r="61" spans="1:24">
      <c r="A61">
        <v>61</v>
      </c>
      <c r="C61">
        <f t="shared" si="12"/>
        <v>2642.3525652173903</v>
      </c>
      <c r="D61">
        <f t="shared" si="13"/>
        <v>4636659.7270631054</v>
      </c>
      <c r="E61">
        <v>61</v>
      </c>
      <c r="G61">
        <f t="shared" si="14"/>
        <v>2642.3525652173903</v>
      </c>
      <c r="H61">
        <f t="shared" si="15"/>
        <v>5011654.6776053486</v>
      </c>
      <c r="I61">
        <v>61</v>
      </c>
      <c r="K61">
        <f t="shared" si="16"/>
        <v>2213.555727272726</v>
      </c>
      <c r="L61">
        <f t="shared" si="17"/>
        <v>3688990.885275743</v>
      </c>
      <c r="M61">
        <v>61</v>
      </c>
      <c r="O61">
        <f t="shared" si="18"/>
        <v>2213.555727272726</v>
      </c>
      <c r="P61">
        <f t="shared" si="19"/>
        <v>4358091.4178859834</v>
      </c>
      <c r="Q61">
        <v>61</v>
      </c>
      <c r="S61">
        <f t="shared" si="20"/>
        <v>5487675.6132690925</v>
      </c>
      <c r="T61">
        <f t="shared" si="21"/>
        <v>5079095.8533194531</v>
      </c>
      <c r="U61">
        <v>61</v>
      </c>
      <c r="W61">
        <f t="shared" si="22"/>
        <v>5437355.7156482879</v>
      </c>
      <c r="X61">
        <f t="shared" si="23"/>
        <v>5842181.5179481562</v>
      </c>
    </row>
    <row r="62" spans="1:24">
      <c r="A62">
        <v>62</v>
      </c>
      <c r="C62">
        <f t="shared" si="12"/>
        <v>2665.9363913043462</v>
      </c>
      <c r="D62">
        <f t="shared" si="13"/>
        <v>4675992.7609387701</v>
      </c>
      <c r="E62">
        <v>62</v>
      </c>
      <c r="G62">
        <f t="shared" si="14"/>
        <v>2665.9363913043462</v>
      </c>
      <c r="H62">
        <f t="shared" si="15"/>
        <v>5060389.4093125528</v>
      </c>
      <c r="I62">
        <v>62</v>
      </c>
      <c r="K62">
        <f t="shared" si="16"/>
        <v>2229.9929393939383</v>
      </c>
      <c r="L62">
        <f t="shared" si="17"/>
        <v>3719032.9553450141</v>
      </c>
      <c r="M62">
        <v>62</v>
      </c>
      <c r="O62">
        <f t="shared" si="18"/>
        <v>2229.9929393939383</v>
      </c>
      <c r="P62">
        <f t="shared" si="19"/>
        <v>4389429.9117078045</v>
      </c>
      <c r="Q62">
        <v>62</v>
      </c>
      <c r="S62">
        <f t="shared" si="20"/>
        <v>5540236.1879822668</v>
      </c>
      <c r="T62">
        <f t="shared" si="21"/>
        <v>5127664.6695534196</v>
      </c>
      <c r="U62">
        <v>62</v>
      </c>
      <c r="W62">
        <f t="shared" si="22"/>
        <v>5495507.3900971077</v>
      </c>
      <c r="X62">
        <f t="shared" si="23"/>
        <v>5904677.4137864187</v>
      </c>
    </row>
    <row r="63" spans="1:24">
      <c r="A63">
        <v>63</v>
      </c>
      <c r="C63">
        <f t="shared" si="12"/>
        <v>2689.520217391303</v>
      </c>
      <c r="D63">
        <f t="shared" si="13"/>
        <v>4715277.081200283</v>
      </c>
      <c r="E63">
        <v>63</v>
      </c>
      <c r="G63">
        <f t="shared" si="14"/>
        <v>2689.520217391303</v>
      </c>
      <c r="H63">
        <f t="shared" si="15"/>
        <v>5109172.8546339106</v>
      </c>
      <c r="I63">
        <v>63</v>
      </c>
      <c r="K63">
        <f t="shared" si="16"/>
        <v>2246.4301515151501</v>
      </c>
      <c r="L63">
        <f t="shared" si="17"/>
        <v>3749030.4420275278</v>
      </c>
      <c r="M63">
        <v>63</v>
      </c>
      <c r="O63">
        <f t="shared" si="18"/>
        <v>2246.4301515151501</v>
      </c>
      <c r="P63">
        <f t="shared" si="19"/>
        <v>4420812.9889163803</v>
      </c>
      <c r="Q63">
        <v>63</v>
      </c>
      <c r="S63">
        <f t="shared" si="20"/>
        <v>5592796.7626954429</v>
      </c>
      <c r="T63">
        <f t="shared" si="21"/>
        <v>5176163.3506720336</v>
      </c>
      <c r="U63">
        <v>63</v>
      </c>
      <c r="W63">
        <f t="shared" si="22"/>
        <v>5553659.0645459276</v>
      </c>
      <c r="X63">
        <f t="shared" si="23"/>
        <v>5967261.3191626919</v>
      </c>
    </row>
    <row r="64" spans="1:24">
      <c r="A64">
        <v>64</v>
      </c>
      <c r="C64">
        <f t="shared" si="12"/>
        <v>2713.1040434782594</v>
      </c>
      <c r="D64">
        <f t="shared" si="13"/>
        <v>4754516.1283640731</v>
      </c>
      <c r="E64">
        <v>64</v>
      </c>
      <c r="G64">
        <f t="shared" si="14"/>
        <v>2713.1040434782594</v>
      </c>
      <c r="H64">
        <f t="shared" si="15"/>
        <v>5158001.5730529893</v>
      </c>
      <c r="I64">
        <v>64</v>
      </c>
      <c r="K64">
        <f t="shared" si="16"/>
        <v>2262.8673636363624</v>
      </c>
      <c r="L64">
        <f t="shared" si="17"/>
        <v>3778983.6205865922</v>
      </c>
      <c r="M64">
        <v>64</v>
      </c>
      <c r="O64">
        <f t="shared" si="18"/>
        <v>2262.8673636363624</v>
      </c>
      <c r="P64">
        <f t="shared" si="19"/>
        <v>4452240.3742484087</v>
      </c>
      <c r="Q64">
        <v>64</v>
      </c>
      <c r="S64">
        <f t="shared" si="20"/>
        <v>5645357.3374086171</v>
      </c>
      <c r="T64">
        <f t="shared" si="21"/>
        <v>5224593.9278454101</v>
      </c>
      <c r="U64">
        <v>64</v>
      </c>
      <c r="W64">
        <f t="shared" si="22"/>
        <v>5611810.7389947474</v>
      </c>
      <c r="X64">
        <f t="shared" si="23"/>
        <v>6029930.4352806443</v>
      </c>
    </row>
    <row r="65" spans="1:24">
      <c r="A65">
        <v>65</v>
      </c>
      <c r="C65">
        <f t="shared" ref="C65:C70" si="24">1227.323+(A65-1)*23.5838260869565</f>
        <v>2736.6878695652158</v>
      </c>
      <c r="D65">
        <f t="shared" ref="D65:D70" si="25">-109437.657186102+1867.1220958413*C65-313318.788176791*(0.111111111111111+(C65-1989.99988888889)^2/1722930.22013289)^0.5</f>
        <v>4793713.0548516223</v>
      </c>
      <c r="E65">
        <v>65</v>
      </c>
      <c r="G65">
        <f t="shared" ref="G65:G70" si="26">1227.323+(E65-1)*23.5838260869565</f>
        <v>2736.6878695652158</v>
      </c>
      <c r="H65">
        <f t="shared" ref="H65:H70" si="27">-109437.657186102+1867.1220958413*G65+313318.788176791*(0.111111111111111+(G65-1989.99988888889)^2/1722930.22013289)^0.5</f>
        <v>5206872.4121483089</v>
      </c>
      <c r="I65">
        <v>65</v>
      </c>
      <c r="K65">
        <f t="shared" ref="K65:K100" si="28">1227.323+(I65-1)*16.4372121212121</f>
        <v>2279.3045757575746</v>
      </c>
      <c r="L65">
        <f t="shared" ref="L65:L96" si="29">-109437.657186102+1867.1220958413*K65-313318.788176791*(1.11111111111111+(K65-1989.99988888889)^2/1722930.22013289)^0.5</f>
        <v>3808892.7814081064</v>
      </c>
      <c r="M65">
        <v>65</v>
      </c>
      <c r="O65">
        <f t="shared" ref="O65:O100" si="30">1227.323+(M65-1)*16.4372121212121</f>
        <v>2279.3045757575746</v>
      </c>
      <c r="P65">
        <f t="shared" ref="P65:P96" si="31">-109437.657186102+1867.1220958413*O65+313318.788176791*(1.11111111111111+(O65-1989.99988888889)^2/1722930.22013289)^0.5</f>
        <v>4483711.777317984</v>
      </c>
      <c r="Q65">
        <v>65</v>
      </c>
      <c r="S65">
        <f t="shared" ref="S65:S70" si="32">2334041.13047858+(Q65-1)*52560.5747131752</f>
        <v>5697917.9121217933</v>
      </c>
      <c r="T65">
        <f t="shared" ref="T65:T70" si="33">0+1*S65-313318.788176791*(1.11111111111111+(S65-3606135.10608007)^2/6006384435772.58)^0.5</f>
        <v>5272958.3866871409</v>
      </c>
      <c r="U65">
        <v>65</v>
      </c>
      <c r="W65">
        <f t="shared" ref="W65:W70" si="34">1948255.2487191+(U65-1)*58151.6744488198</f>
        <v>5669962.4134435672</v>
      </c>
      <c r="X65">
        <f t="shared" ref="X65:X70" si="35">0+1*W65+313318.788176791*(1.11111111111111+(W65-3606135.10608007)^2/6006384435772.58)^0.5</f>
        <v>6092682.0303060114</v>
      </c>
    </row>
    <row r="66" spans="1:24">
      <c r="A66">
        <v>66</v>
      </c>
      <c r="C66">
        <f t="shared" si="24"/>
        <v>2760.2716956521726</v>
      </c>
      <c r="D66">
        <f t="shared" si="25"/>
        <v>4832870.7511168523</v>
      </c>
      <c r="E66">
        <v>66</v>
      </c>
      <c r="G66">
        <f t="shared" si="26"/>
        <v>2760.2716956521726</v>
      </c>
      <c r="H66">
        <f t="shared" si="27"/>
        <v>5255782.4814659515</v>
      </c>
      <c r="I66">
        <v>66</v>
      </c>
      <c r="K66">
        <f t="shared" si="28"/>
        <v>2295.7417878787865</v>
      </c>
      <c r="L66">
        <f t="shared" si="29"/>
        <v>3838758.2294567009</v>
      </c>
      <c r="M66">
        <v>66</v>
      </c>
      <c r="O66">
        <f t="shared" si="30"/>
        <v>2295.7417878787865</v>
      </c>
      <c r="P66">
        <f t="shared" si="31"/>
        <v>4515226.893160481</v>
      </c>
      <c r="Q66">
        <v>66</v>
      </c>
      <c r="S66">
        <f t="shared" si="32"/>
        <v>5750478.4868349675</v>
      </c>
      <c r="T66">
        <f t="shared" si="33"/>
        <v>5321258.6663403418</v>
      </c>
      <c r="U66">
        <v>66</v>
      </c>
      <c r="W66">
        <f t="shared" si="34"/>
        <v>5728114.0878923871</v>
      </c>
      <c r="X66">
        <f t="shared" si="35"/>
        <v>6155513.4411890823</v>
      </c>
    </row>
    <row r="67" spans="1:24">
      <c r="A67">
        <v>67</v>
      </c>
      <c r="C67">
        <f t="shared" si="24"/>
        <v>2783.855521739129</v>
      </c>
      <c r="D67">
        <f t="shared" si="25"/>
        <v>4871991.8694764469</v>
      </c>
      <c r="E67">
        <v>67</v>
      </c>
      <c r="G67">
        <f t="shared" si="26"/>
        <v>2783.855521739129</v>
      </c>
      <c r="H67">
        <f t="shared" si="27"/>
        <v>5304729.1286892258</v>
      </c>
      <c r="I67">
        <v>67</v>
      </c>
      <c r="K67">
        <f t="shared" si="28"/>
        <v>2312.1789999999983</v>
      </c>
      <c r="L67">
        <f t="shared" si="29"/>
        <v>3868580.2837133924</v>
      </c>
      <c r="M67">
        <v>67</v>
      </c>
      <c r="O67">
        <f t="shared" si="30"/>
        <v>2312.1789999999983</v>
      </c>
      <c r="P67">
        <f t="shared" si="31"/>
        <v>4546785.4027948789</v>
      </c>
      <c r="Q67">
        <v>67</v>
      </c>
      <c r="S67">
        <f t="shared" si="32"/>
        <v>5803039.0615481436</v>
      </c>
      <c r="T67">
        <f t="shared" si="33"/>
        <v>5369496.658811531</v>
      </c>
      <c r="U67">
        <v>67</v>
      </c>
      <c r="W67">
        <f t="shared" si="34"/>
        <v>5786265.7623412069</v>
      </c>
      <c r="X67">
        <f t="shared" si="35"/>
        <v>6218422.0750065604</v>
      </c>
    </row>
    <row r="68" spans="1:24">
      <c r="A68">
        <v>68</v>
      </c>
      <c r="C68">
        <f t="shared" si="24"/>
        <v>2807.4393478260854</v>
      </c>
      <c r="D68">
        <f t="shared" si="25"/>
        <v>4911078.8457871238</v>
      </c>
      <c r="E68">
        <v>68</v>
      </c>
      <c r="G68">
        <f t="shared" si="26"/>
        <v>2807.4393478260854</v>
      </c>
      <c r="H68">
        <f t="shared" si="27"/>
        <v>5353709.9179614177</v>
      </c>
      <c r="I68">
        <v>68</v>
      </c>
      <c r="K68">
        <f t="shared" si="28"/>
        <v>2328.616212121211</v>
      </c>
      <c r="L68">
        <f t="shared" si="29"/>
        <v>3898359.2765970547</v>
      </c>
      <c r="M68">
        <v>68</v>
      </c>
      <c r="O68">
        <f t="shared" si="30"/>
        <v>2328.616212121211</v>
      </c>
      <c r="P68">
        <f t="shared" si="31"/>
        <v>4578386.9738023113</v>
      </c>
      <c r="Q68">
        <v>68</v>
      </c>
      <c r="S68">
        <f t="shared" si="32"/>
        <v>5855599.6362613179</v>
      </c>
      <c r="T68">
        <f t="shared" si="33"/>
        <v>5417674.2085304819</v>
      </c>
      <c r="U68">
        <v>68</v>
      </c>
      <c r="W68">
        <f t="shared" si="34"/>
        <v>5844417.4367900267</v>
      </c>
      <c r="X68">
        <f t="shared" si="35"/>
        <v>6281405.4098677514</v>
      </c>
    </row>
    <row r="69" spans="1:24">
      <c r="A69">
        <v>69</v>
      </c>
      <c r="C69">
        <f t="shared" si="24"/>
        <v>2831.0231739130422</v>
      </c>
      <c r="D69">
        <f t="shared" si="25"/>
        <v>4950133.9191241069</v>
      </c>
      <c r="E69">
        <v>69</v>
      </c>
      <c r="G69">
        <f t="shared" si="26"/>
        <v>2831.0231739130422</v>
      </c>
      <c r="H69">
        <f t="shared" si="27"/>
        <v>5402722.6102073072</v>
      </c>
      <c r="I69">
        <v>69</v>
      </c>
      <c r="K69">
        <f t="shared" si="28"/>
        <v>2345.0534242424228</v>
      </c>
      <c r="L69">
        <f t="shared" si="29"/>
        <v>3928095.5533719468</v>
      </c>
      <c r="M69">
        <v>69</v>
      </c>
      <c r="O69">
        <f t="shared" si="30"/>
        <v>2345.0534242424228</v>
      </c>
      <c r="P69">
        <f t="shared" si="31"/>
        <v>4610031.2609185083</v>
      </c>
      <c r="Q69">
        <v>69</v>
      </c>
      <c r="S69">
        <f t="shared" si="32"/>
        <v>5908160.210974494</v>
      </c>
      <c r="T69">
        <f t="shared" si="33"/>
        <v>5465793.1121151429</v>
      </c>
      <c r="U69">
        <v>69</v>
      </c>
      <c r="W69">
        <f t="shared" si="34"/>
        <v>5902569.1112388466</v>
      </c>
      <c r="X69">
        <f t="shared" si="35"/>
        <v>6344460.9954284318</v>
      </c>
    </row>
    <row r="70" spans="1:24">
      <c r="A70">
        <v>70</v>
      </c>
      <c r="C70">
        <f t="shared" si="24"/>
        <v>2854.6069999999986</v>
      </c>
      <c r="D70">
        <f t="shared" si="25"/>
        <v>4989159.149617888</v>
      </c>
      <c r="E70">
        <v>70</v>
      </c>
      <c r="G70">
        <f t="shared" si="26"/>
        <v>2854.6069999999986</v>
      </c>
      <c r="H70">
        <f t="shared" si="27"/>
        <v>5451765.1452963948</v>
      </c>
      <c r="I70">
        <v>70</v>
      </c>
      <c r="K70">
        <f t="shared" si="28"/>
        <v>2361.4906363636346</v>
      </c>
      <c r="L70">
        <f t="shared" si="29"/>
        <v>3957789.471543612</v>
      </c>
      <c r="M70">
        <v>70</v>
      </c>
      <c r="O70">
        <f t="shared" si="30"/>
        <v>2361.4906363636346</v>
      </c>
      <c r="P70">
        <f t="shared" si="31"/>
        <v>4641717.9066379331</v>
      </c>
      <c r="Q70">
        <v>70</v>
      </c>
      <c r="S70">
        <f t="shared" si="32"/>
        <v>5960720.7856876682</v>
      </c>
      <c r="T70">
        <f t="shared" si="33"/>
        <v>5513855.1183214607</v>
      </c>
      <c r="U70">
        <v>70</v>
      </c>
      <c r="W70">
        <f t="shared" si="34"/>
        <v>5960720.7856876664</v>
      </c>
      <c r="X70">
        <f t="shared" si="35"/>
        <v>6407586.453053874</v>
      </c>
    </row>
    <row r="71" spans="1:24">
      <c r="I71">
        <v>71</v>
      </c>
      <c r="K71">
        <f t="shared" si="28"/>
        <v>2377.9278484848473</v>
      </c>
      <c r="L71">
        <f t="shared" si="29"/>
        <v>3987441.400245334</v>
      </c>
      <c r="M71">
        <v>71</v>
      </c>
      <c r="O71">
        <f t="shared" si="30"/>
        <v>2377.9278484848473</v>
      </c>
      <c r="P71">
        <f t="shared" si="31"/>
        <v>4673446.5418273052</v>
      </c>
    </row>
    <row r="72" spans="1:24">
      <c r="I72">
        <v>72</v>
      </c>
      <c r="K72">
        <f t="shared" si="28"/>
        <v>2394.3650606060592</v>
      </c>
      <c r="L72">
        <f t="shared" si="29"/>
        <v>4017051.7196174017</v>
      </c>
      <c r="M72">
        <v>72</v>
      </c>
      <c r="O72">
        <f t="shared" si="30"/>
        <v>2394.3650606060592</v>
      </c>
      <c r="P72">
        <f t="shared" si="31"/>
        <v>4705216.7863463275</v>
      </c>
    </row>
    <row r="73" spans="1:24">
      <c r="I73">
        <v>73</v>
      </c>
      <c r="K73">
        <f t="shared" si="28"/>
        <v>2410.802272727271</v>
      </c>
      <c r="L73">
        <f t="shared" si="29"/>
        <v>4046620.8201813377</v>
      </c>
      <c r="M73">
        <v>73</v>
      </c>
      <c r="O73">
        <f t="shared" si="30"/>
        <v>2410.802272727271</v>
      </c>
      <c r="P73">
        <f t="shared" si="31"/>
        <v>4737028.2496734802</v>
      </c>
    </row>
    <row r="74" spans="1:24">
      <c r="I74">
        <v>74</v>
      </c>
      <c r="K74">
        <f t="shared" si="28"/>
        <v>2427.2394848484832</v>
      </c>
      <c r="L74">
        <f t="shared" si="29"/>
        <v>4076149.102211175</v>
      </c>
      <c r="M74">
        <v>74</v>
      </c>
      <c r="O74">
        <f t="shared" si="30"/>
        <v>2427.2394848484832</v>
      </c>
      <c r="P74">
        <f t="shared" si="31"/>
        <v>4768880.531534736</v>
      </c>
    </row>
    <row r="75" spans="1:24">
      <c r="I75">
        <v>75</v>
      </c>
      <c r="K75">
        <f t="shared" si="28"/>
        <v>2443.6766969696955</v>
      </c>
      <c r="L75">
        <f t="shared" si="29"/>
        <v>4105636.9751038211</v>
      </c>
      <c r="M75">
        <v>75</v>
      </c>
      <c r="O75">
        <f t="shared" si="30"/>
        <v>2443.6766969696955</v>
      </c>
      <c r="P75">
        <f t="shared" si="31"/>
        <v>4800773.2225331813</v>
      </c>
    </row>
    <row r="76" spans="1:24">
      <c r="I76">
        <v>76</v>
      </c>
      <c r="K76">
        <f t="shared" si="28"/>
        <v>2460.1139090909073</v>
      </c>
      <c r="L76">
        <f t="shared" si="29"/>
        <v>4135084.8567504799</v>
      </c>
      <c r="M76">
        <v>76</v>
      </c>
      <c r="O76">
        <f t="shared" si="30"/>
        <v>2460.1139090909073</v>
      </c>
      <c r="P76">
        <f t="shared" si="31"/>
        <v>4832705.9047776135</v>
      </c>
    </row>
    <row r="77" spans="1:24">
      <c r="I77">
        <v>77</v>
      </c>
      <c r="K77">
        <f t="shared" si="28"/>
        <v>2476.5511212121196</v>
      </c>
      <c r="L77">
        <f t="shared" si="29"/>
        <v>4164493.1729109767</v>
      </c>
      <c r="M77">
        <v>77</v>
      </c>
      <c r="O77">
        <f t="shared" si="30"/>
        <v>2476.5511212121196</v>
      </c>
      <c r="P77">
        <f t="shared" si="31"/>
        <v>4864678.1525082067</v>
      </c>
    </row>
    <row r="78" spans="1:24">
      <c r="I78">
        <v>78</v>
      </c>
      <c r="K78">
        <f t="shared" si="28"/>
        <v>2492.9883333333319</v>
      </c>
      <c r="L78">
        <f t="shared" si="29"/>
        <v>4193862.3565927721</v>
      </c>
      <c r="M78">
        <v>78</v>
      </c>
      <c r="O78">
        <f t="shared" si="30"/>
        <v>2492.9883333333319</v>
      </c>
      <c r="P78">
        <f t="shared" si="31"/>
        <v>4896689.5327175045</v>
      </c>
    </row>
    <row r="79" spans="1:24">
      <c r="I79">
        <v>79</v>
      </c>
      <c r="K79">
        <f t="shared" si="28"/>
        <v>2509.4255454545437</v>
      </c>
      <c r="L79">
        <f t="shared" si="29"/>
        <v>4223192.8474363284</v>
      </c>
      <c r="M79">
        <v>79</v>
      </c>
      <c r="O79">
        <f t="shared" si="30"/>
        <v>2509.4255454545437</v>
      </c>
      <c r="P79">
        <f t="shared" si="31"/>
        <v>4928739.6057650382</v>
      </c>
    </row>
    <row r="80" spans="1:24">
      <c r="I80">
        <v>80</v>
      </c>
      <c r="K80">
        <f t="shared" si="28"/>
        <v>2525.8627575757559</v>
      </c>
      <c r="L80">
        <f t="shared" si="29"/>
        <v>4252485.0911084181</v>
      </c>
      <c r="M80">
        <v>80</v>
      </c>
      <c r="O80">
        <f t="shared" si="30"/>
        <v>2525.8627575757559</v>
      </c>
      <c r="P80">
        <f t="shared" si="31"/>
        <v>4960827.925984039</v>
      </c>
    </row>
    <row r="81" spans="9:16">
      <c r="I81">
        <v>81</v>
      </c>
      <c r="K81">
        <f t="shared" si="28"/>
        <v>2542.2999696969682</v>
      </c>
      <c r="L81">
        <f t="shared" si="29"/>
        <v>4281739.5387048125</v>
      </c>
      <c r="M81">
        <v>81</v>
      </c>
      <c r="O81">
        <f t="shared" si="30"/>
        <v>2542.2999696969682</v>
      </c>
      <c r="P81">
        <f t="shared" si="31"/>
        <v>4992954.0422787368</v>
      </c>
    </row>
    <row r="82" spans="9:16">
      <c r="I82">
        <v>82</v>
      </c>
      <c r="K82">
        <f t="shared" si="28"/>
        <v>2558.73718181818</v>
      </c>
      <c r="L82">
        <f t="shared" si="29"/>
        <v>4310956.6461637095</v>
      </c>
      <c r="M82">
        <v>82</v>
      </c>
      <c r="O82">
        <f t="shared" si="30"/>
        <v>2558.73718181818</v>
      </c>
      <c r="P82">
        <f t="shared" si="31"/>
        <v>5025117.4987109303</v>
      </c>
    </row>
    <row r="83" spans="9:16">
      <c r="I83">
        <v>83</v>
      </c>
      <c r="K83">
        <f t="shared" si="28"/>
        <v>2575.1743939393918</v>
      </c>
      <c r="L83">
        <f t="shared" si="29"/>
        <v>4340136.8736911593</v>
      </c>
      <c r="M83">
        <v>83</v>
      </c>
      <c r="O83">
        <f t="shared" si="30"/>
        <v>2575.1743939393918</v>
      </c>
      <c r="P83">
        <f t="shared" si="31"/>
        <v>5057317.835074571</v>
      </c>
    </row>
    <row r="84" spans="9:16">
      <c r="I84">
        <v>84</v>
      </c>
      <c r="K84">
        <f t="shared" si="28"/>
        <v>2591.6116060606046</v>
      </c>
      <c r="L84">
        <f t="shared" si="29"/>
        <v>4369280.6851995764</v>
      </c>
      <c r="M84">
        <v>84</v>
      </c>
      <c r="O84">
        <f t="shared" si="30"/>
        <v>2591.6116060606046</v>
      </c>
      <c r="P84">
        <f t="shared" si="31"/>
        <v>5089554.5874572461</v>
      </c>
    </row>
    <row r="85" spans="9:16">
      <c r="I85">
        <v>85</v>
      </c>
      <c r="K85">
        <f t="shared" si="28"/>
        <v>2608.0488181818164</v>
      </c>
      <c r="L85">
        <f t="shared" si="29"/>
        <v>4398388.5477603832</v>
      </c>
      <c r="M85">
        <v>85</v>
      </c>
      <c r="O85">
        <f t="shared" si="30"/>
        <v>2608.0488181818164</v>
      </c>
      <c r="P85">
        <f t="shared" si="31"/>
        <v>5121827.2887875298</v>
      </c>
    </row>
    <row r="86" spans="9:16">
      <c r="I86">
        <v>86</v>
      </c>
      <c r="K86">
        <f t="shared" si="28"/>
        <v>2624.4860303030282</v>
      </c>
      <c r="L86">
        <f t="shared" si="29"/>
        <v>4427460.93107168</v>
      </c>
      <c r="M86">
        <v>86</v>
      </c>
      <c r="O86">
        <f t="shared" si="30"/>
        <v>2624.4860303030282</v>
      </c>
      <c r="P86">
        <f t="shared" si="31"/>
        <v>5154135.4693673234</v>
      </c>
    </row>
    <row r="87" spans="9:16">
      <c r="I87">
        <v>87</v>
      </c>
      <c r="K87">
        <f t="shared" si="28"/>
        <v>2640.9232424242409</v>
      </c>
      <c r="L87">
        <f t="shared" si="29"/>
        <v>4456498.3069417188</v>
      </c>
      <c r="M87">
        <v>87</v>
      </c>
      <c r="O87">
        <f t="shared" si="30"/>
        <v>2640.9232424242409</v>
      </c>
      <c r="P87">
        <f t="shared" si="31"/>
        <v>5186478.657388377</v>
      </c>
    </row>
    <row r="88" spans="9:16">
      <c r="I88">
        <v>88</v>
      </c>
      <c r="K88">
        <f t="shared" si="28"/>
        <v>2657.3604545454527</v>
      </c>
      <c r="L88">
        <f t="shared" si="29"/>
        <v>4485501.1487888852</v>
      </c>
      <c r="M88">
        <v>88</v>
      </c>
      <c r="O88">
        <f t="shared" si="30"/>
        <v>2657.3604545454527</v>
      </c>
      <c r="P88">
        <f t="shared" si="31"/>
        <v>5218856.379432301</v>
      </c>
    </row>
    <row r="89" spans="9:16">
      <c r="I89">
        <v>89</v>
      </c>
      <c r="K89">
        <f t="shared" si="28"/>
        <v>2673.7976666666646</v>
      </c>
      <c r="L89">
        <f t="shared" si="29"/>
        <v>4514469.9311587606</v>
      </c>
      <c r="M89">
        <v>89</v>
      </c>
      <c r="O89">
        <f t="shared" si="30"/>
        <v>2673.7976666666646</v>
      </c>
      <c r="P89">
        <f t="shared" si="31"/>
        <v>5251268.1609535161</v>
      </c>
    </row>
    <row r="90" spans="9:16">
      <c r="I90">
        <v>90</v>
      </c>
      <c r="K90">
        <f t="shared" si="28"/>
        <v>2690.2348787878768</v>
      </c>
      <c r="L90">
        <f t="shared" si="29"/>
        <v>4543405.1292587463</v>
      </c>
      <c r="M90">
        <v>90</v>
      </c>
      <c r="O90">
        <f t="shared" si="30"/>
        <v>2690.2348787878768</v>
      </c>
      <c r="P90">
        <f t="shared" si="31"/>
        <v>5283713.5267446227</v>
      </c>
    </row>
    <row r="91" spans="9:16">
      <c r="I91">
        <v>91</v>
      </c>
      <c r="K91">
        <f t="shared" si="28"/>
        <v>2706.6720909090891</v>
      </c>
      <c r="L91">
        <f t="shared" si="29"/>
        <v>4572307.218510625</v>
      </c>
      <c r="M91">
        <v>91</v>
      </c>
      <c r="O91">
        <f t="shared" si="30"/>
        <v>2706.6720909090891</v>
      </c>
      <c r="P91">
        <f t="shared" si="31"/>
        <v>5316192.0013838345</v>
      </c>
    </row>
    <row r="92" spans="9:16">
      <c r="I92">
        <v>92</v>
      </c>
      <c r="K92">
        <f t="shared" si="28"/>
        <v>2723.1093030303009</v>
      </c>
      <c r="L92">
        <f t="shared" si="29"/>
        <v>4601176.6741213724</v>
      </c>
      <c r="M92">
        <v>92</v>
      </c>
      <c r="O92">
        <f t="shared" si="30"/>
        <v>2723.1093030303009</v>
      </c>
      <c r="P92">
        <f t="shared" si="31"/>
        <v>5348703.1096641775</v>
      </c>
    </row>
    <row r="93" spans="9:16">
      <c r="I93">
        <v>93</v>
      </c>
      <c r="K93">
        <f t="shared" si="28"/>
        <v>2739.5465151515132</v>
      </c>
      <c r="L93">
        <f t="shared" si="29"/>
        <v>4630013.9706723988</v>
      </c>
      <c r="M93">
        <v>93</v>
      </c>
      <c r="O93">
        <f t="shared" si="30"/>
        <v>2739.5465151515132</v>
      </c>
      <c r="P93">
        <f t="shared" si="31"/>
        <v>5381246.3770042434</v>
      </c>
    </row>
    <row r="94" spans="9:16">
      <c r="I94">
        <v>94</v>
      </c>
      <c r="K94">
        <f t="shared" si="28"/>
        <v>2755.9837272727254</v>
      </c>
      <c r="L94">
        <f t="shared" si="29"/>
        <v>4658819.581727352</v>
      </c>
      <c r="M94">
        <v>94</v>
      </c>
      <c r="O94">
        <f t="shared" si="30"/>
        <v>2755.9837272727254</v>
      </c>
      <c r="P94">
        <f t="shared" si="31"/>
        <v>5413821.3298403826</v>
      </c>
    </row>
    <row r="95" spans="9:16">
      <c r="I95">
        <v>95</v>
      </c>
      <c r="K95">
        <f t="shared" si="28"/>
        <v>2772.4209393939373</v>
      </c>
      <c r="L95">
        <f t="shared" si="29"/>
        <v>4687593.9794585351</v>
      </c>
      <c r="M95">
        <v>95</v>
      </c>
      <c r="O95">
        <f t="shared" si="30"/>
        <v>2772.4209393939373</v>
      </c>
      <c r="P95">
        <f t="shared" si="31"/>
        <v>5446427.4960002881</v>
      </c>
    </row>
    <row r="96" spans="9:16">
      <c r="I96">
        <v>96</v>
      </c>
      <c r="K96">
        <f t="shared" si="28"/>
        <v>2788.8581515151495</v>
      </c>
      <c r="L96">
        <f t="shared" si="29"/>
        <v>4716337.6342918994</v>
      </c>
      <c r="M96">
        <v>96</v>
      </c>
      <c r="O96">
        <f t="shared" si="30"/>
        <v>2788.8581515151495</v>
      </c>
      <c r="P96">
        <f t="shared" si="31"/>
        <v>5479064.4050580161</v>
      </c>
    </row>
    <row r="97" spans="9:16">
      <c r="I97">
        <v>97</v>
      </c>
      <c r="K97">
        <f t="shared" si="28"/>
        <v>2805.2953636363618</v>
      </c>
      <c r="L97">
        <f t="shared" ref="L97:L100" si="36">-109437.657186102+1867.1220958413*K97-313318.788176791*(1.11111111111111+(K97-1989.99988888889)^2/1722930.22013289)^0.5</f>
        <v>4745051.0145705091</v>
      </c>
      <c r="M97">
        <v>97</v>
      </c>
      <c r="O97">
        <f t="shared" si="30"/>
        <v>2805.2953636363618</v>
      </c>
      <c r="P97">
        <f t="shared" ref="P97:P100" si="37">-109437.657186102+1867.1220958413*O97+313318.788176791*(1.11111111111111+(O97-1989.99988888889)^2/1722930.22013289)^0.5</f>
        <v>5511731.5886704987</v>
      </c>
    </row>
    <row r="98" spans="9:16">
      <c r="I98">
        <v>98</v>
      </c>
      <c r="K98">
        <f t="shared" si="28"/>
        <v>2821.7325757575736</v>
      </c>
      <c r="L98">
        <f t="shared" si="36"/>
        <v>4773734.5862363493</v>
      </c>
      <c r="M98">
        <v>98</v>
      </c>
      <c r="O98">
        <f t="shared" si="30"/>
        <v>2821.7325757575736</v>
      </c>
      <c r="P98">
        <f t="shared" si="37"/>
        <v>5544428.5808957489</v>
      </c>
    </row>
    <row r="99" spans="9:16">
      <c r="I99">
        <v>99</v>
      </c>
      <c r="K99">
        <f t="shared" si="28"/>
        <v>2838.1697878787854</v>
      </c>
      <c r="L99">
        <f t="shared" si="36"/>
        <v>4802388.8125302354</v>
      </c>
      <c r="M99">
        <v>99</v>
      </c>
      <c r="O99">
        <f t="shared" si="30"/>
        <v>2838.1697878787854</v>
      </c>
      <c r="P99">
        <f t="shared" si="37"/>
        <v>5577154.9184929514</v>
      </c>
    </row>
    <row r="100" spans="9:16">
      <c r="I100">
        <v>100</v>
      </c>
      <c r="K100">
        <f t="shared" si="28"/>
        <v>2854.6069999999982</v>
      </c>
      <c r="L100">
        <f t="shared" si="36"/>
        <v>4831014.1537095821</v>
      </c>
      <c r="M100">
        <v>100</v>
      </c>
      <c r="O100">
        <f t="shared" si="30"/>
        <v>2854.6069999999982</v>
      </c>
      <c r="P100">
        <f t="shared" si="37"/>
        <v>5609910.1412046989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F0EF-07B4-4133-A001-1DB104BEBEDA}">
  <sheetPr codeName="XLSTAT_20221004_131245_1_HID">
    <tabColor rgb="FF007800"/>
  </sheetPr>
  <dimension ref="A1:X100"/>
  <sheetViews>
    <sheetView workbookViewId="0">
      <selection activeCell="U1" sqref="U1"/>
    </sheetView>
  </sheetViews>
  <sheetFormatPr baseColWidth="10" defaultColWidth="11.44140625" defaultRowHeight="14.4"/>
  <sheetData>
    <row r="1" spans="1:24">
      <c r="A1">
        <v>1</v>
      </c>
      <c r="C1">
        <f t="shared" ref="C1:C32" si="0">250180.9999939+(A1-1)*7692.00000106087</f>
        <v>250180.99999390001</v>
      </c>
      <c r="D1">
        <f t="shared" ref="D1:D32" si="1">89971.6867579031+7.3289600314658*C1-648725.615101392*(0.0625+(C1-471715.308964356)^2/252318197983.38)^0.5</f>
        <v>1594661.7424466237</v>
      </c>
      <c r="E1">
        <v>1</v>
      </c>
      <c r="G1">
        <f t="shared" ref="G1:G32" si="2">250180.9999939+(E1-1)*7692.00000106087</f>
        <v>250180.99999390001</v>
      </c>
      <c r="H1">
        <f t="shared" ref="H1:H32" si="3">89971.6867579031+7.3289600314658*G1+648725.615101392*(0.0625+(G1-471715.308964356)^2/252318197983.38)^0.5</f>
        <v>2252414.73024406</v>
      </c>
      <c r="I1">
        <v>1</v>
      </c>
      <c r="K1">
        <f t="shared" ref="K1:K32" si="4">250180.9999939+(I1-1)*5361.0909098303</f>
        <v>250180.99999390001</v>
      </c>
      <c r="L1">
        <f t="shared" ref="L1:L32" si="5">89971.6867579031+7.3289600314658*K1-648725.615101392*(1.0625+(K1-471715.308964356)^2/252318197983.38)^0.5</f>
        <v>1196211.1627891646</v>
      </c>
      <c r="M1">
        <v>1</v>
      </c>
      <c r="O1">
        <f t="shared" ref="O1:O32" si="6">250180.9999939+(M1-1)*5361.0909098303</f>
        <v>250180.99999390001</v>
      </c>
      <c r="P1">
        <f t="shared" ref="P1:P32" si="7">89971.6867579031+7.3289600314658*O1+648725.615101392*(1.0625+(O1-471715.308964356)^2/252318197983.38)^0.5</f>
        <v>2650865.3099015192</v>
      </c>
      <c r="Q1">
        <v>1</v>
      </c>
      <c r="S1">
        <f t="shared" ref="S1:S32" si="8">2118029.78031119+(Q1-1)*64768.5517471276</f>
        <v>2118029.7803111901</v>
      </c>
      <c r="T1">
        <f t="shared" ref="T1:T32" si="9">0+1*S1-648725.615101392*(1.0625+(S1-3547154.33238821)^2/13552932672737.8)^0.5</f>
        <v>1403489.2770218467</v>
      </c>
      <c r="U1">
        <v>1</v>
      </c>
      <c r="W1">
        <f t="shared" ref="W1:W32" si="10">1798152.6476974+(U1-1)*69404.4522197912</f>
        <v>1798152.6476974001</v>
      </c>
      <c r="X1">
        <f t="shared" ref="X1:X32" si="11">0+1*W1+648725.615101392*(1.0625+(W1-3547154.33238821)^2/13552932672737.8)^0.5</f>
        <v>2534451.3955317298</v>
      </c>
    </row>
    <row r="2" spans="1:24">
      <c r="A2">
        <v>2</v>
      </c>
      <c r="C2">
        <f t="shared" si="0"/>
        <v>257872.99999496088</v>
      </c>
      <c r="D2">
        <f t="shared" si="1"/>
        <v>1659640.7678047053</v>
      </c>
      <c r="E2">
        <v>2</v>
      </c>
      <c r="G2">
        <f t="shared" si="2"/>
        <v>257872.99999496088</v>
      </c>
      <c r="H2">
        <f t="shared" si="3"/>
        <v>2300184.4260255983</v>
      </c>
      <c r="I2">
        <v>2</v>
      </c>
      <c r="K2">
        <f t="shared" si="4"/>
        <v>255542.09090373031</v>
      </c>
      <c r="L2">
        <f t="shared" si="5"/>
        <v>1238197.9902604856</v>
      </c>
      <c r="M2">
        <v>2</v>
      </c>
      <c r="O2">
        <f t="shared" si="6"/>
        <v>255542.09090373031</v>
      </c>
      <c r="P2">
        <f t="shared" si="7"/>
        <v>2687460.9244365999</v>
      </c>
      <c r="Q2">
        <v>2</v>
      </c>
      <c r="S2">
        <f t="shared" si="8"/>
        <v>2182798.3320583175</v>
      </c>
      <c r="T2">
        <f t="shared" si="9"/>
        <v>1472200.054536385</v>
      </c>
      <c r="U2">
        <v>2</v>
      </c>
      <c r="W2">
        <f t="shared" si="10"/>
        <v>1867557.0999171913</v>
      </c>
      <c r="X2">
        <f t="shared" si="11"/>
        <v>2598820.8855932956</v>
      </c>
    </row>
    <row r="3" spans="1:24">
      <c r="A3">
        <v>3</v>
      </c>
      <c r="C3">
        <f t="shared" si="0"/>
        <v>265564.99999602174</v>
      </c>
      <c r="D3">
        <f t="shared" si="1"/>
        <v>1724540.7285991523</v>
      </c>
      <c r="E3">
        <v>3</v>
      </c>
      <c r="G3">
        <f t="shared" si="2"/>
        <v>265564.99999602174</v>
      </c>
      <c r="H3">
        <f t="shared" si="3"/>
        <v>2348033.1863707714</v>
      </c>
      <c r="I3">
        <v>3</v>
      </c>
      <c r="K3">
        <f t="shared" si="4"/>
        <v>260903.1818135606</v>
      </c>
      <c r="L3">
        <f t="shared" si="5"/>
        <v>1280128.4829300768</v>
      </c>
      <c r="M3">
        <v>3</v>
      </c>
      <c r="O3">
        <f t="shared" si="6"/>
        <v>260903.1818135606</v>
      </c>
      <c r="P3">
        <f t="shared" si="7"/>
        <v>2724112.8737734105</v>
      </c>
      <c r="Q3">
        <v>3</v>
      </c>
      <c r="S3">
        <f t="shared" si="8"/>
        <v>2247566.8838054454</v>
      </c>
      <c r="T3">
        <f t="shared" si="9"/>
        <v>1540748.5076585975</v>
      </c>
      <c r="U3">
        <v>3</v>
      </c>
      <c r="W3">
        <f t="shared" si="10"/>
        <v>1936961.5521369826</v>
      </c>
      <c r="X3">
        <f t="shared" si="11"/>
        <v>2663361.4113702085</v>
      </c>
    </row>
    <row r="4" spans="1:24">
      <c r="A4">
        <v>4</v>
      </c>
      <c r="C4">
        <f t="shared" si="0"/>
        <v>273256.99999708263</v>
      </c>
      <c r="D4">
        <f t="shared" si="1"/>
        <v>1789354.9575091498</v>
      </c>
      <c r="E4">
        <v>4</v>
      </c>
      <c r="G4">
        <f t="shared" si="2"/>
        <v>273256.99999708263</v>
      </c>
      <c r="H4">
        <f t="shared" si="3"/>
        <v>2395967.6786003942</v>
      </c>
      <c r="I4">
        <v>4</v>
      </c>
      <c r="K4">
        <f t="shared" si="4"/>
        <v>266264.2727233909</v>
      </c>
      <c r="L4">
        <f t="shared" si="5"/>
        <v>1322002.0207776353</v>
      </c>
      <c r="M4">
        <v>4</v>
      </c>
      <c r="O4">
        <f t="shared" si="6"/>
        <v>266264.2727233909</v>
      </c>
      <c r="P4">
        <f t="shared" si="7"/>
        <v>2760821.7779322537</v>
      </c>
      <c r="Q4">
        <v>4</v>
      </c>
      <c r="S4">
        <f t="shared" si="8"/>
        <v>2312335.4355525728</v>
      </c>
      <c r="T4">
        <f t="shared" si="9"/>
        <v>1609132.0187760503</v>
      </c>
      <c r="U4">
        <v>4</v>
      </c>
      <c r="W4">
        <f t="shared" si="10"/>
        <v>2006366.0043567736</v>
      </c>
      <c r="X4">
        <f t="shared" si="11"/>
        <v>2728076.430927231</v>
      </c>
    </row>
    <row r="5" spans="1:24">
      <c r="A5">
        <v>5</v>
      </c>
      <c r="C5">
        <f t="shared" si="0"/>
        <v>280948.99999814347</v>
      </c>
      <c r="D5">
        <f t="shared" si="1"/>
        <v>1854076.095138177</v>
      </c>
      <c r="E5">
        <v>5</v>
      </c>
      <c r="G5">
        <f t="shared" si="2"/>
        <v>280948.99999814347</v>
      </c>
      <c r="H5">
        <f t="shared" si="3"/>
        <v>2443995.2621109872</v>
      </c>
      <c r="I5">
        <v>5</v>
      </c>
      <c r="K5">
        <f t="shared" si="4"/>
        <v>271625.36363322119</v>
      </c>
      <c r="L5">
        <f t="shared" si="5"/>
        <v>1363817.9883260669</v>
      </c>
      <c r="M5">
        <v>5</v>
      </c>
      <c r="O5">
        <f t="shared" si="6"/>
        <v>271625.36363322119</v>
      </c>
      <c r="P5">
        <f t="shared" si="7"/>
        <v>2797588.2523902236</v>
      </c>
      <c r="Q5">
        <v>5</v>
      </c>
      <c r="S5">
        <f t="shared" si="8"/>
        <v>2377103.9872997003</v>
      </c>
      <c r="T5">
        <f t="shared" si="9"/>
        <v>1677348.0315986685</v>
      </c>
      <c r="U5">
        <v>5</v>
      </c>
      <c r="W5">
        <f t="shared" si="10"/>
        <v>2075770.4565765648</v>
      </c>
      <c r="X5">
        <f t="shared" si="11"/>
        <v>2792969.3670754093</v>
      </c>
    </row>
    <row r="6" spans="1:24">
      <c r="A6">
        <v>6</v>
      </c>
      <c r="C6">
        <f t="shared" si="0"/>
        <v>288640.99999920436</v>
      </c>
      <c r="D6">
        <f t="shared" si="1"/>
        <v>1918696.0111914864</v>
      </c>
      <c r="E6">
        <v>6</v>
      </c>
      <c r="G6">
        <f t="shared" si="2"/>
        <v>288640.99999920436</v>
      </c>
      <c r="H6">
        <f t="shared" si="3"/>
        <v>2492124.0671972977</v>
      </c>
      <c r="I6">
        <v>6</v>
      </c>
      <c r="K6">
        <f t="shared" si="4"/>
        <v>276986.45454305154</v>
      </c>
      <c r="L6">
        <f t="shared" si="5"/>
        <v>1405575.7752168952</v>
      </c>
      <c r="M6">
        <v>6</v>
      </c>
      <c r="O6">
        <f t="shared" si="6"/>
        <v>276986.45454305154</v>
      </c>
      <c r="P6">
        <f t="shared" si="7"/>
        <v>2834412.9075057982</v>
      </c>
      <c r="Q6">
        <v>6</v>
      </c>
      <c r="S6">
        <f t="shared" si="8"/>
        <v>2441872.5390468282</v>
      </c>
      <c r="T6">
        <f t="shared" si="9"/>
        <v>1745394.0588498213</v>
      </c>
      <c r="U6">
        <v>6</v>
      </c>
      <c r="W6">
        <f t="shared" si="10"/>
        <v>2145174.9087963561</v>
      </c>
      <c r="X6">
        <f t="shared" si="11"/>
        <v>2858043.597752959</v>
      </c>
    </row>
    <row r="7" spans="1:24">
      <c r="A7">
        <v>7</v>
      </c>
      <c r="C7">
        <f t="shared" si="0"/>
        <v>296333.00000026525</v>
      </c>
      <c r="D7">
        <f t="shared" si="1"/>
        <v>1983205.717455301</v>
      </c>
      <c r="E7">
        <v>7</v>
      </c>
      <c r="G7">
        <f t="shared" si="2"/>
        <v>296333.00000026525</v>
      </c>
      <c r="H7">
        <f t="shared" si="3"/>
        <v>2540363.0820731032</v>
      </c>
      <c r="I7">
        <v>7</v>
      </c>
      <c r="K7">
        <f t="shared" si="4"/>
        <v>282347.54545288184</v>
      </c>
      <c r="L7">
        <f t="shared" si="5"/>
        <v>1447274.7767971177</v>
      </c>
      <c r="M7">
        <v>7</v>
      </c>
      <c r="O7">
        <f t="shared" si="6"/>
        <v>282347.54545288184</v>
      </c>
      <c r="P7">
        <f t="shared" si="7"/>
        <v>2871296.3479319774</v>
      </c>
      <c r="Q7">
        <v>7</v>
      </c>
      <c r="S7">
        <f t="shared" si="8"/>
        <v>2506641.0907939556</v>
      </c>
      <c r="T7">
        <f t="shared" si="9"/>
        <v>1813267.6900338887</v>
      </c>
      <c r="U7">
        <v>7</v>
      </c>
      <c r="W7">
        <f t="shared" si="10"/>
        <v>2214579.3610161473</v>
      </c>
      <c r="X7">
        <f t="shared" si="11"/>
        <v>2923302.4460376808</v>
      </c>
    </row>
    <row r="8" spans="1:24">
      <c r="A8">
        <v>8</v>
      </c>
      <c r="C8">
        <f t="shared" si="0"/>
        <v>304025.00000132609</v>
      </c>
      <c r="D8">
        <f t="shared" si="1"/>
        <v>2047595.2723308976</v>
      </c>
      <c r="E8">
        <v>8</v>
      </c>
      <c r="G8">
        <f t="shared" si="2"/>
        <v>304025.00000132609</v>
      </c>
      <c r="H8">
        <f t="shared" si="3"/>
        <v>2588722.2483371259</v>
      </c>
      <c r="I8">
        <v>8</v>
      </c>
      <c r="K8">
        <f t="shared" si="4"/>
        <v>287708.63636271213</v>
      </c>
      <c r="L8">
        <f t="shared" si="5"/>
        <v>1488914.394716627</v>
      </c>
      <c r="M8">
        <v>8</v>
      </c>
      <c r="O8">
        <f t="shared" si="6"/>
        <v>287708.63636271213</v>
      </c>
      <c r="P8">
        <f t="shared" si="7"/>
        <v>2908239.1720188698</v>
      </c>
      <c r="Q8">
        <v>8</v>
      </c>
      <c r="S8">
        <f t="shared" si="8"/>
        <v>2571409.6425410835</v>
      </c>
      <c r="T8">
        <f t="shared" si="9"/>
        <v>1880966.5992339561</v>
      </c>
      <c r="U8">
        <v>8</v>
      </c>
      <c r="W8">
        <f t="shared" si="10"/>
        <v>2283983.8132359385</v>
      </c>
      <c r="X8">
        <f t="shared" si="11"/>
        <v>2988749.1698362269</v>
      </c>
    </row>
    <row r="9" spans="1:24">
      <c r="A9">
        <v>9</v>
      </c>
      <c r="C9">
        <f t="shared" si="0"/>
        <v>311717.00000238698</v>
      </c>
      <c r="D9">
        <f t="shared" si="1"/>
        <v>2111853.6769726421</v>
      </c>
      <c r="E9">
        <v>9</v>
      </c>
      <c r="G9">
        <f t="shared" si="2"/>
        <v>311717.00000238698</v>
      </c>
      <c r="H9">
        <f t="shared" si="3"/>
        <v>2637212.5648350022</v>
      </c>
      <c r="I9">
        <v>9</v>
      </c>
      <c r="K9">
        <f t="shared" si="4"/>
        <v>293069.72727254243</v>
      </c>
      <c r="L9">
        <f t="shared" si="5"/>
        <v>1530494.0375352355</v>
      </c>
      <c r="M9">
        <v>9</v>
      </c>
      <c r="O9">
        <f t="shared" si="6"/>
        <v>293069.72727254243</v>
      </c>
      <c r="P9">
        <f t="shared" si="7"/>
        <v>2945241.9712066632</v>
      </c>
      <c r="Q9">
        <v>9</v>
      </c>
      <c r="S9">
        <f t="shared" si="8"/>
        <v>2636178.1942882109</v>
      </c>
      <c r="T9">
        <f t="shared" si="9"/>
        <v>1948488.5528899892</v>
      </c>
      <c r="U9">
        <v>9</v>
      </c>
      <c r="W9">
        <f t="shared" si="10"/>
        <v>2353388.2654557298</v>
      </c>
      <c r="X9">
        <f t="shared" si="11"/>
        <v>3054386.9513027007</v>
      </c>
    </row>
    <row r="10" spans="1:24">
      <c r="A10">
        <v>10</v>
      </c>
      <c r="C10">
        <f t="shared" si="0"/>
        <v>319409.00000344787</v>
      </c>
      <c r="D10">
        <f t="shared" si="1"/>
        <v>2175968.7635281002</v>
      </c>
      <c r="E10">
        <v>10</v>
      </c>
      <c r="G10">
        <f t="shared" si="2"/>
        <v>319409.00000344787</v>
      </c>
      <c r="H10">
        <f t="shared" si="3"/>
        <v>2685846.1994191641</v>
      </c>
      <c r="I10">
        <v>10</v>
      </c>
      <c r="K10">
        <f t="shared" si="4"/>
        <v>298430.81818237272</v>
      </c>
      <c r="L10">
        <f t="shared" si="5"/>
        <v>1572013.1213382678</v>
      </c>
      <c r="M10">
        <v>10</v>
      </c>
      <c r="O10">
        <f t="shared" si="6"/>
        <v>298430.81818237272</v>
      </c>
      <c r="P10">
        <f t="shared" si="7"/>
        <v>2982305.3294100324</v>
      </c>
      <c r="Q10">
        <v>10</v>
      </c>
      <c r="S10">
        <f t="shared" si="8"/>
        <v>2700946.7460353384</v>
      </c>
      <c r="T10">
        <f t="shared" si="9"/>
        <v>2015831.4175050233</v>
      </c>
      <c r="U10">
        <v>10</v>
      </c>
      <c r="W10">
        <f t="shared" si="10"/>
        <v>2422792.717675521</v>
      </c>
      <c r="X10">
        <f t="shared" si="11"/>
        <v>3120218.8860461861</v>
      </c>
    </row>
    <row r="11" spans="1:24">
      <c r="A11">
        <v>11</v>
      </c>
      <c r="C11">
        <f t="shared" si="0"/>
        <v>327101.00000450871</v>
      </c>
      <c r="D11">
        <f t="shared" si="1"/>
        <v>2239927.0766323744</v>
      </c>
      <c r="E11">
        <v>11</v>
      </c>
      <c r="G11">
        <f t="shared" si="2"/>
        <v>327101.00000450871</v>
      </c>
      <c r="H11">
        <f t="shared" si="3"/>
        <v>2734636.607454509</v>
      </c>
      <c r="I11">
        <v>11</v>
      </c>
      <c r="K11">
        <f t="shared" si="4"/>
        <v>303791.90909220302</v>
      </c>
      <c r="L11">
        <f t="shared" si="5"/>
        <v>1613471.0703596156</v>
      </c>
      <c r="M11">
        <v>11</v>
      </c>
      <c r="O11">
        <f t="shared" si="6"/>
        <v>303791.90909220302</v>
      </c>
      <c r="P11">
        <f t="shared" si="7"/>
        <v>3019429.8223950863</v>
      </c>
      <c r="Q11">
        <v>11</v>
      </c>
      <c r="S11">
        <f t="shared" si="8"/>
        <v>2765715.2977824658</v>
      </c>
      <c r="T11">
        <f t="shared" si="9"/>
        <v>2082993.1672245292</v>
      </c>
      <c r="U11">
        <v>11</v>
      </c>
      <c r="W11">
        <f t="shared" si="10"/>
        <v>2492197.1698953118</v>
      </c>
      <c r="X11">
        <f t="shared" si="11"/>
        <v>3186247.9721936393</v>
      </c>
    </row>
    <row r="12" spans="1:24">
      <c r="A12">
        <v>12</v>
      </c>
      <c r="C12">
        <f t="shared" si="0"/>
        <v>334793.0000055696</v>
      </c>
      <c r="D12">
        <f t="shared" si="1"/>
        <v>2303713.7502302863</v>
      </c>
      <c r="E12">
        <v>12</v>
      </c>
      <c r="G12">
        <f t="shared" si="2"/>
        <v>334793.0000055696</v>
      </c>
      <c r="H12">
        <f t="shared" si="3"/>
        <v>2783598.6549962182</v>
      </c>
      <c r="I12">
        <v>12</v>
      </c>
      <c r="K12">
        <f t="shared" si="4"/>
        <v>309153.00000203331</v>
      </c>
      <c r="L12">
        <f t="shared" si="5"/>
        <v>1654867.3176110676</v>
      </c>
      <c r="M12">
        <v>12</v>
      </c>
      <c r="O12">
        <f t="shared" si="6"/>
        <v>309153.00000203331</v>
      </c>
      <c r="P12">
        <f t="shared" si="7"/>
        <v>3056616.0171500361</v>
      </c>
      <c r="Q12">
        <v>12</v>
      </c>
      <c r="S12">
        <f t="shared" si="8"/>
        <v>2830483.8495295937</v>
      </c>
      <c r="T12">
        <f t="shared" si="9"/>
        <v>2149971.891232376</v>
      </c>
      <c r="U12">
        <v>12</v>
      </c>
      <c r="W12">
        <f t="shared" si="10"/>
        <v>2561601.6221151035</v>
      </c>
      <c r="X12">
        <f t="shared" si="11"/>
        <v>3252477.0993810678</v>
      </c>
    </row>
    <row r="13" spans="1:24">
      <c r="A13">
        <v>13</v>
      </c>
      <c r="C13">
        <f t="shared" si="0"/>
        <v>342485.00000663043</v>
      </c>
      <c r="D13">
        <f t="shared" si="1"/>
        <v>2367312.3830602472</v>
      </c>
      <c r="E13">
        <v>13</v>
      </c>
      <c r="G13">
        <f t="shared" si="2"/>
        <v>342485.00000663043</v>
      </c>
      <c r="H13">
        <f t="shared" si="3"/>
        <v>2832748.7433058764</v>
      </c>
      <c r="I13">
        <v>13</v>
      </c>
      <c r="K13">
        <f t="shared" si="4"/>
        <v>314514.0909118636</v>
      </c>
      <c r="L13">
        <f t="shared" si="5"/>
        <v>1696201.305516663</v>
      </c>
      <c r="M13">
        <v>13</v>
      </c>
      <c r="O13">
        <f t="shared" si="6"/>
        <v>314514.0909118636</v>
      </c>
      <c r="P13">
        <f t="shared" si="7"/>
        <v>3093864.4712508423</v>
      </c>
      <c r="Q13">
        <v>13</v>
      </c>
      <c r="S13">
        <f t="shared" si="8"/>
        <v>2895252.4012767212</v>
      </c>
      <c r="T13">
        <f t="shared" si="9"/>
        <v>2216765.8009056896</v>
      </c>
      <c r="U13">
        <v>13</v>
      </c>
      <c r="W13">
        <f t="shared" si="10"/>
        <v>2631006.0743348943</v>
      </c>
      <c r="X13">
        <f t="shared" si="11"/>
        <v>3318909.0377517953</v>
      </c>
    </row>
    <row r="14" spans="1:24">
      <c r="A14">
        <v>14</v>
      </c>
      <c r="C14">
        <f t="shared" si="0"/>
        <v>350177.00000769133</v>
      </c>
      <c r="D14">
        <f t="shared" si="1"/>
        <v>2430704.9178070757</v>
      </c>
      <c r="E14">
        <v>14</v>
      </c>
      <c r="G14">
        <f t="shared" si="2"/>
        <v>350177.00000769133</v>
      </c>
      <c r="H14">
        <f t="shared" si="3"/>
        <v>2882104.929698668</v>
      </c>
      <c r="I14">
        <v>14</v>
      </c>
      <c r="K14">
        <f t="shared" si="4"/>
        <v>319875.1818216939</v>
      </c>
      <c r="L14">
        <f t="shared" si="5"/>
        <v>1737472.4865507446</v>
      </c>
      <c r="M14">
        <v>14</v>
      </c>
      <c r="O14">
        <f t="shared" si="6"/>
        <v>319875.1818216939</v>
      </c>
      <c r="P14">
        <f t="shared" si="7"/>
        <v>3131175.7322231624</v>
      </c>
      <c r="Q14">
        <v>14</v>
      </c>
      <c r="S14">
        <f t="shared" si="8"/>
        <v>2960020.9530238491</v>
      </c>
      <c r="T14">
        <f t="shared" si="9"/>
        <v>2283373.2366705425</v>
      </c>
      <c r="U14">
        <v>14</v>
      </c>
      <c r="W14">
        <f t="shared" si="10"/>
        <v>2700410.5265546856</v>
      </c>
      <c r="X14">
        <f t="shared" si="11"/>
        <v>3385546.4270458156</v>
      </c>
    </row>
    <row r="15" spans="1:24">
      <c r="A15">
        <v>15</v>
      </c>
      <c r="C15">
        <f t="shared" si="0"/>
        <v>357869.00000875222</v>
      </c>
      <c r="D15">
        <f t="shared" si="1"/>
        <v>2493871.5310832746</v>
      </c>
      <c r="E15">
        <v>15</v>
      </c>
      <c r="G15">
        <f t="shared" si="2"/>
        <v>357869.00000875222</v>
      </c>
      <c r="H15">
        <f t="shared" si="3"/>
        <v>2931687.03756209</v>
      </c>
      <c r="I15">
        <v>15</v>
      </c>
      <c r="K15">
        <f t="shared" si="4"/>
        <v>325236.27273152419</v>
      </c>
      <c r="L15">
        <f t="shared" si="5"/>
        <v>1778680.3238783181</v>
      </c>
      <c r="M15">
        <v>15</v>
      </c>
      <c r="O15">
        <f t="shared" si="6"/>
        <v>325236.27273152419</v>
      </c>
      <c r="P15">
        <f t="shared" si="7"/>
        <v>3168550.3369019907</v>
      </c>
      <c r="Q15">
        <v>15</v>
      </c>
      <c r="S15">
        <f t="shared" si="8"/>
        <v>3024789.5047709765</v>
      </c>
      <c r="T15">
        <f t="shared" si="9"/>
        <v>2349792.6745007671</v>
      </c>
      <c r="U15">
        <v>15</v>
      </c>
      <c r="W15">
        <f t="shared" si="10"/>
        <v>2769814.9787744768</v>
      </c>
      <c r="X15">
        <f t="shared" si="11"/>
        <v>3452391.7658684906</v>
      </c>
    </row>
    <row r="16" spans="1:24">
      <c r="A16">
        <v>16</v>
      </c>
      <c r="C16">
        <f t="shared" si="0"/>
        <v>365561.00000981305</v>
      </c>
      <c r="D16">
        <f t="shared" si="1"/>
        <v>2556790.5440655043</v>
      </c>
      <c r="E16">
        <v>16</v>
      </c>
      <c r="G16">
        <f t="shared" si="2"/>
        <v>365561.00000981305</v>
      </c>
      <c r="H16">
        <f t="shared" si="3"/>
        <v>2981516.7457194794</v>
      </c>
      <c r="I16">
        <v>16</v>
      </c>
      <c r="K16">
        <f t="shared" si="4"/>
        <v>330597.36364135449</v>
      </c>
      <c r="L16">
        <f t="shared" si="5"/>
        <v>1819824.2919962723</v>
      </c>
      <c r="M16">
        <v>16</v>
      </c>
      <c r="O16">
        <f t="shared" si="6"/>
        <v>330597.36364135449</v>
      </c>
      <c r="P16">
        <f t="shared" si="7"/>
        <v>3205988.8107904382</v>
      </c>
      <c r="Q16">
        <v>16</v>
      </c>
      <c r="S16">
        <f t="shared" si="8"/>
        <v>3089558.0565181039</v>
      </c>
      <c r="T16">
        <f t="shared" si="9"/>
        <v>2416022.7320034248</v>
      </c>
      <c r="U16">
        <v>16</v>
      </c>
      <c r="W16">
        <f t="shared" si="10"/>
        <v>2839219.430994268</v>
      </c>
      <c r="X16">
        <f t="shared" si="11"/>
        <v>3519447.4012300852</v>
      </c>
    </row>
    <row r="17" spans="1:24">
      <c r="A17">
        <v>17</v>
      </c>
      <c r="C17">
        <f t="shared" si="0"/>
        <v>373253.00001087395</v>
      </c>
      <c r="D17">
        <f t="shared" si="1"/>
        <v>2619438.3667671066</v>
      </c>
      <c r="E17">
        <v>17</v>
      </c>
      <c r="G17">
        <f t="shared" si="2"/>
        <v>373253.00001087395</v>
      </c>
      <c r="H17">
        <f t="shared" si="3"/>
        <v>3031617.6441574972</v>
      </c>
      <c r="I17">
        <v>17</v>
      </c>
      <c r="K17">
        <f t="shared" si="4"/>
        <v>335958.45455118478</v>
      </c>
      <c r="L17">
        <f t="shared" si="5"/>
        <v>1860903.8773739426</v>
      </c>
      <c r="M17">
        <v>17</v>
      </c>
      <c r="O17">
        <f t="shared" si="6"/>
        <v>335958.45455118478</v>
      </c>
      <c r="P17">
        <f t="shared" si="7"/>
        <v>3243491.6674191696</v>
      </c>
      <c r="Q17">
        <v>17</v>
      </c>
      <c r="S17">
        <f t="shared" si="8"/>
        <v>3154326.6082652318</v>
      </c>
      <c r="T17">
        <f t="shared" si="9"/>
        <v>2482062.1740364544</v>
      </c>
      <c r="U17">
        <v>17</v>
      </c>
      <c r="W17">
        <f t="shared" si="10"/>
        <v>2908623.8832140593</v>
      </c>
      <c r="X17">
        <f t="shared" si="11"/>
        <v>3586715.5184496301</v>
      </c>
    </row>
    <row r="18" spans="1:24">
      <c r="A18">
        <v>18</v>
      </c>
      <c r="C18">
        <f t="shared" si="0"/>
        <v>380945.00001193478</v>
      </c>
      <c r="D18">
        <f t="shared" si="1"/>
        <v>2681789.4924274534</v>
      </c>
      <c r="E18">
        <v>18</v>
      </c>
      <c r="G18">
        <f t="shared" si="2"/>
        <v>380945.00001193478</v>
      </c>
      <c r="H18">
        <f t="shared" si="3"/>
        <v>3082015.2396367704</v>
      </c>
      <c r="I18">
        <v>18</v>
      </c>
      <c r="K18">
        <f t="shared" si="4"/>
        <v>341319.54546101508</v>
      </c>
      <c r="L18">
        <f t="shared" si="5"/>
        <v>1901918.5790914581</v>
      </c>
      <c r="M18">
        <v>18</v>
      </c>
      <c r="O18">
        <f t="shared" si="6"/>
        <v>341319.54546101508</v>
      </c>
      <c r="P18">
        <f t="shared" si="7"/>
        <v>3281059.4077080558</v>
      </c>
      <c r="Q18">
        <v>18</v>
      </c>
      <c r="S18">
        <f t="shared" si="8"/>
        <v>3219095.1600123593</v>
      </c>
      <c r="T18">
        <f t="shared" si="9"/>
        <v>2547909.917806929</v>
      </c>
      <c r="U18">
        <v>18</v>
      </c>
      <c r="W18">
        <f t="shared" si="10"/>
        <v>2978028.3354338505</v>
      </c>
      <c r="X18">
        <f t="shared" si="11"/>
        <v>3654198.1315172887</v>
      </c>
    </row>
    <row r="19" spans="1:24">
      <c r="A19">
        <v>19</v>
      </c>
      <c r="C19">
        <f t="shared" si="0"/>
        <v>388637.00001299568</v>
      </c>
      <c r="D19">
        <f t="shared" si="1"/>
        <v>2743816.5620250944</v>
      </c>
      <c r="E19">
        <v>19</v>
      </c>
      <c r="G19">
        <f t="shared" si="2"/>
        <v>388637.00001299568</v>
      </c>
      <c r="H19">
        <f t="shared" si="3"/>
        <v>3132736.8911787495</v>
      </c>
      <c r="I19">
        <v>19</v>
      </c>
      <c r="K19">
        <f t="shared" si="4"/>
        <v>346680.63637084543</v>
      </c>
      <c r="L19">
        <f t="shared" si="5"/>
        <v>1942867.9094742606</v>
      </c>
      <c r="M19">
        <v>19</v>
      </c>
      <c r="O19">
        <f t="shared" si="6"/>
        <v>346680.63637084543</v>
      </c>
      <c r="P19">
        <f t="shared" si="7"/>
        <v>3318692.519331655</v>
      </c>
      <c r="Q19">
        <v>19</v>
      </c>
      <c r="S19">
        <f t="shared" si="8"/>
        <v>3283863.7117594872</v>
      </c>
      <c r="T19">
        <f t="shared" si="9"/>
        <v>2613565.0374020291</v>
      </c>
      <c r="U19">
        <v>19</v>
      </c>
      <c r="W19">
        <f t="shared" si="10"/>
        <v>3047432.7876536418</v>
      </c>
      <c r="X19">
        <f t="shared" si="11"/>
        <v>3721897.0740086306</v>
      </c>
    </row>
    <row r="20" spans="1:24">
      <c r="A20">
        <v>20</v>
      </c>
      <c r="C20">
        <f t="shared" si="0"/>
        <v>396329.00001405657</v>
      </c>
      <c r="D20">
        <f t="shared" si="1"/>
        <v>2805490.521904246</v>
      </c>
      <c r="E20">
        <v>20</v>
      </c>
      <c r="G20">
        <f t="shared" si="2"/>
        <v>396329.00001405657</v>
      </c>
      <c r="H20">
        <f t="shared" si="3"/>
        <v>3183811.652439218</v>
      </c>
      <c r="I20">
        <v>20</v>
      </c>
      <c r="K20">
        <f t="shared" si="4"/>
        <v>352041.72728067572</v>
      </c>
      <c r="L20">
        <f t="shared" si="5"/>
        <v>1983751.3947221362</v>
      </c>
      <c r="M20">
        <v>20</v>
      </c>
      <c r="O20">
        <f t="shared" si="6"/>
        <v>352041.72728067572</v>
      </c>
      <c r="P20">
        <f t="shared" si="7"/>
        <v>3356391.4760901812</v>
      </c>
      <c r="Q20">
        <v>20</v>
      </c>
      <c r="S20">
        <f t="shared" si="8"/>
        <v>3348632.2635066146</v>
      </c>
      <c r="T20">
        <f t="shared" si="9"/>
        <v>2679026.7677093139</v>
      </c>
      <c r="U20">
        <v>20</v>
      </c>
      <c r="W20">
        <f t="shared" si="10"/>
        <v>3116837.2398734326</v>
      </c>
      <c r="X20">
        <f t="shared" si="11"/>
        <v>3789813.9906419329</v>
      </c>
    </row>
    <row r="21" spans="1:24">
      <c r="A21">
        <v>21</v>
      </c>
      <c r="C21">
        <f t="shared" si="0"/>
        <v>404021.0000151174</v>
      </c>
      <c r="D21">
        <f t="shared" si="1"/>
        <v>2866780.8990636561</v>
      </c>
      <c r="E21">
        <v>21</v>
      </c>
      <c r="G21">
        <f t="shared" si="2"/>
        <v>404021.0000151174</v>
      </c>
      <c r="H21">
        <f t="shared" si="3"/>
        <v>3235269.9964194279</v>
      </c>
      <c r="I21">
        <v>21</v>
      </c>
      <c r="K21">
        <f t="shared" si="4"/>
        <v>357402.81819050602</v>
      </c>
      <c r="L21">
        <f t="shared" si="5"/>
        <v>2024568.5755310738</v>
      </c>
      <c r="M21">
        <v>21</v>
      </c>
      <c r="O21">
        <f t="shared" si="6"/>
        <v>357402.81819050602</v>
      </c>
      <c r="P21">
        <f t="shared" si="7"/>
        <v>3394156.7372876452</v>
      </c>
      <c r="Q21">
        <v>21</v>
      </c>
      <c r="S21">
        <f t="shared" si="8"/>
        <v>3413400.815253742</v>
      </c>
      <c r="T21">
        <f t="shared" si="9"/>
        <v>2744294.5076881116</v>
      </c>
      <c r="U21">
        <v>21</v>
      </c>
      <c r="W21">
        <f t="shared" si="10"/>
        <v>3186241.6920932243</v>
      </c>
      <c r="X21">
        <f t="shared" si="11"/>
        <v>3857950.329565804</v>
      </c>
    </row>
    <row r="22" spans="1:24">
      <c r="A22">
        <v>22</v>
      </c>
      <c r="C22">
        <f t="shared" si="0"/>
        <v>411713.0000161783</v>
      </c>
      <c r="D22">
        <f t="shared" si="1"/>
        <v>2927656.2175970906</v>
      </c>
      <c r="E22">
        <v>22</v>
      </c>
      <c r="G22">
        <f t="shared" si="2"/>
        <v>411713.0000161783</v>
      </c>
      <c r="H22">
        <f t="shared" si="3"/>
        <v>3287143.3990256134</v>
      </c>
      <c r="I22">
        <v>22</v>
      </c>
      <c r="K22">
        <f t="shared" si="4"/>
        <v>362763.90910033631</v>
      </c>
      <c r="L22">
        <f t="shared" si="5"/>
        <v>2065319.0077062319</v>
      </c>
      <c r="M22">
        <v>22</v>
      </c>
      <c r="O22">
        <f t="shared" si="6"/>
        <v>362763.90910033631</v>
      </c>
      <c r="P22">
        <f t="shared" si="7"/>
        <v>3431988.7471188889</v>
      </c>
      <c r="Q22">
        <v>22</v>
      </c>
      <c r="S22">
        <f t="shared" si="8"/>
        <v>3478169.3670008695</v>
      </c>
      <c r="T22">
        <f t="shared" si="9"/>
        <v>2809367.8229596987</v>
      </c>
      <c r="U22">
        <v>22</v>
      </c>
      <c r="W22">
        <f t="shared" si="10"/>
        <v>3255646.144313015</v>
      </c>
      <c r="X22">
        <f t="shared" si="11"/>
        <v>3926307.3354590125</v>
      </c>
    </row>
    <row r="23" spans="1:24">
      <c r="A23">
        <v>23</v>
      </c>
      <c r="C23">
        <f t="shared" si="0"/>
        <v>419405.00001723913</v>
      </c>
      <c r="D23">
        <f t="shared" si="1"/>
        <v>2988084.5746863745</v>
      </c>
      <c r="E23">
        <v>23</v>
      </c>
      <c r="G23">
        <f t="shared" si="2"/>
        <v>419405.00001723913</v>
      </c>
      <c r="H23">
        <f t="shared" si="3"/>
        <v>3339463.7630759496</v>
      </c>
      <c r="I23">
        <v>23</v>
      </c>
      <c r="K23">
        <f t="shared" si="4"/>
        <v>368125.00001016661</v>
      </c>
      <c r="L23">
        <f t="shared" si="5"/>
        <v>2106002.2627642639</v>
      </c>
      <c r="M23">
        <v>23</v>
      </c>
      <c r="O23">
        <f t="shared" si="6"/>
        <v>368125.00001016661</v>
      </c>
      <c r="P23">
        <f t="shared" si="7"/>
        <v>3469887.9340672586</v>
      </c>
      <c r="Q23">
        <v>23</v>
      </c>
      <c r="S23">
        <f t="shared" si="8"/>
        <v>3542937.9187479974</v>
      </c>
      <c r="T23">
        <f t="shared" si="9"/>
        <v>2874246.447690398</v>
      </c>
      <c r="U23">
        <v>23</v>
      </c>
      <c r="W23">
        <f t="shared" si="10"/>
        <v>3325050.5965328068</v>
      </c>
      <c r="X23">
        <f t="shared" si="11"/>
        <v>3994886.0435175309</v>
      </c>
    </row>
    <row r="24" spans="1:24">
      <c r="A24">
        <v>24</v>
      </c>
      <c r="C24">
        <f t="shared" si="0"/>
        <v>427097.00001830002</v>
      </c>
      <c r="D24">
        <f t="shared" si="1"/>
        <v>3048034.3840882592</v>
      </c>
      <c r="E24">
        <v>24</v>
      </c>
      <c r="G24">
        <f t="shared" si="2"/>
        <v>427097.00001830002</v>
      </c>
      <c r="H24">
        <f t="shared" si="3"/>
        <v>3392262.674813685</v>
      </c>
      <c r="I24">
        <v>24</v>
      </c>
      <c r="K24">
        <f t="shared" si="4"/>
        <v>373486.0909199969</v>
      </c>
      <c r="L24">
        <f t="shared" si="5"/>
        <v>2146617.9285232583</v>
      </c>
      <c r="M24">
        <v>24</v>
      </c>
      <c r="O24">
        <f t="shared" si="6"/>
        <v>373486.0909199969</v>
      </c>
      <c r="P24">
        <f t="shared" si="7"/>
        <v>3507854.7103146659</v>
      </c>
      <c r="Q24">
        <v>24</v>
      </c>
      <c r="S24">
        <f t="shared" si="8"/>
        <v>3607706.4704951253</v>
      </c>
      <c r="T24">
        <f t="shared" si="9"/>
        <v>2938930.2857486308</v>
      </c>
      <c r="U24">
        <v>24</v>
      </c>
      <c r="W24">
        <f t="shared" si="10"/>
        <v>3394455.0487525975</v>
      </c>
      <c r="X24">
        <f t="shared" si="11"/>
        <v>4063687.2743954156</v>
      </c>
    </row>
    <row r="25" spans="1:24">
      <c r="A25">
        <v>25</v>
      </c>
      <c r="C25">
        <f t="shared" si="0"/>
        <v>434789.00001936092</v>
      </c>
      <c r="D25">
        <f t="shared" si="1"/>
        <v>3107475.2784443973</v>
      </c>
      <c r="E25">
        <v>25</v>
      </c>
      <c r="G25">
        <f t="shared" si="2"/>
        <v>434789.00001936092</v>
      </c>
      <c r="H25">
        <f t="shared" si="3"/>
        <v>3445570.501597167</v>
      </c>
      <c r="I25">
        <v>25</v>
      </c>
      <c r="K25">
        <f t="shared" si="4"/>
        <v>378847.1818298272</v>
      </c>
      <c r="L25">
        <f t="shared" si="5"/>
        <v>2187165.6096785269</v>
      </c>
      <c r="M25">
        <v>25</v>
      </c>
      <c r="O25">
        <f t="shared" si="6"/>
        <v>378847.1818298272</v>
      </c>
      <c r="P25">
        <f t="shared" si="7"/>
        <v>3545889.4711657991</v>
      </c>
      <c r="Q25">
        <v>25</v>
      </c>
      <c r="S25">
        <f t="shared" si="8"/>
        <v>3672475.0222422527</v>
      </c>
      <c r="T25">
        <f t="shared" si="9"/>
        <v>3003419.411124194</v>
      </c>
      <c r="U25">
        <v>25</v>
      </c>
      <c r="W25">
        <f t="shared" si="10"/>
        <v>3463859.5009723892</v>
      </c>
      <c r="X25">
        <f t="shared" si="11"/>
        <v>4132711.6301565692</v>
      </c>
    </row>
    <row r="26" spans="1:24">
      <c r="A26">
        <v>26</v>
      </c>
      <c r="C26">
        <f t="shared" si="0"/>
        <v>442481.00002042175</v>
      </c>
      <c r="D26">
        <f t="shared" si="1"/>
        <v>3166379.1394267958</v>
      </c>
      <c r="E26">
        <v>26</v>
      </c>
      <c r="G26">
        <f t="shared" si="2"/>
        <v>442481.00002042175</v>
      </c>
      <c r="H26">
        <f t="shared" si="3"/>
        <v>3499415.3617543885</v>
      </c>
      <c r="I26">
        <v>26</v>
      </c>
      <c r="K26">
        <f t="shared" si="4"/>
        <v>384208.27273965755</v>
      </c>
      <c r="L26">
        <f t="shared" si="5"/>
        <v>2227644.928362486</v>
      </c>
      <c r="M26">
        <v>26</v>
      </c>
      <c r="O26">
        <f t="shared" si="6"/>
        <v>384208.27273965755</v>
      </c>
      <c r="P26">
        <f t="shared" si="7"/>
        <v>3583992.5944882426</v>
      </c>
      <c r="Q26">
        <v>26</v>
      </c>
      <c r="S26">
        <f t="shared" si="8"/>
        <v>3737243.5739893802</v>
      </c>
      <c r="T26">
        <f t="shared" si="9"/>
        <v>3067714.0676055169</v>
      </c>
      <c r="U26">
        <v>26</v>
      </c>
      <c r="W26">
        <f t="shared" si="10"/>
        <v>3533263.95319218</v>
      </c>
      <c r="X26">
        <f t="shared" si="11"/>
        <v>4201959.4912835751</v>
      </c>
    </row>
    <row r="27" spans="1:24">
      <c r="A27">
        <v>27</v>
      </c>
      <c r="C27">
        <f t="shared" si="0"/>
        <v>450173.00002148264</v>
      </c>
      <c r="D27">
        <f t="shared" si="1"/>
        <v>3224721.1990321684</v>
      </c>
      <c r="E27">
        <v>27</v>
      </c>
      <c r="G27">
        <f t="shared" si="2"/>
        <v>450173.00002148264</v>
      </c>
      <c r="H27">
        <f t="shared" si="3"/>
        <v>3553822.023288636</v>
      </c>
      <c r="I27">
        <v>27</v>
      </c>
      <c r="K27">
        <f t="shared" si="4"/>
        <v>389569.36364948784</v>
      </c>
      <c r="L27">
        <f t="shared" si="5"/>
        <v>2268055.5246868827</v>
      </c>
      <c r="M27">
        <v>27</v>
      </c>
      <c r="O27">
        <f t="shared" si="6"/>
        <v>389569.36364948784</v>
      </c>
      <c r="P27">
        <f t="shared" si="7"/>
        <v>3622164.4401702476</v>
      </c>
      <c r="Q27">
        <v>27</v>
      </c>
      <c r="S27">
        <f t="shared" si="8"/>
        <v>3802012.1257365076</v>
      </c>
      <c r="T27">
        <f t="shared" si="9"/>
        <v>3131814.6677181558</v>
      </c>
      <c r="U27">
        <v>27</v>
      </c>
      <c r="W27">
        <f t="shared" si="10"/>
        <v>3602668.4054119713</v>
      </c>
      <c r="X27">
        <f t="shared" si="11"/>
        <v>4271431.014778126</v>
      </c>
    </row>
    <row r="28" spans="1:24">
      <c r="A28">
        <v>28</v>
      </c>
      <c r="C28">
        <f t="shared" si="0"/>
        <v>457865.00002254348</v>
      </c>
      <c r="D28">
        <f t="shared" si="1"/>
        <v>3282481.1307327719</v>
      </c>
      <c r="E28">
        <v>28</v>
      </c>
      <c r="G28">
        <f t="shared" si="2"/>
        <v>457865.00002254348</v>
      </c>
      <c r="H28">
        <f t="shared" si="3"/>
        <v>3608810.8127276516</v>
      </c>
      <c r="I28">
        <v>28</v>
      </c>
      <c r="K28">
        <f t="shared" si="4"/>
        <v>394930.45455931814</v>
      </c>
      <c r="L28">
        <f t="shared" si="5"/>
        <v>2308397.0572656482</v>
      </c>
      <c r="M28">
        <v>28</v>
      </c>
      <c r="O28">
        <f t="shared" si="6"/>
        <v>394930.45455931814</v>
      </c>
      <c r="P28">
        <f t="shared" si="7"/>
        <v>3660405.3495978839</v>
      </c>
      <c r="Q28">
        <v>28</v>
      </c>
      <c r="S28">
        <f t="shared" si="8"/>
        <v>3866780.677483635</v>
      </c>
      <c r="T28">
        <f t="shared" si="9"/>
        <v>3195721.7909353077</v>
      </c>
      <c r="U28">
        <v>28</v>
      </c>
      <c r="W28">
        <f t="shared" si="10"/>
        <v>3672072.8576317625</v>
      </c>
      <c r="X28">
        <f t="shared" si="11"/>
        <v>4341126.1333750868</v>
      </c>
    </row>
    <row r="29" spans="1:24">
      <c r="A29">
        <v>29</v>
      </c>
      <c r="C29">
        <f t="shared" si="0"/>
        <v>465557.00002360437</v>
      </c>
      <c r="D29">
        <f t="shared" si="1"/>
        <v>3339644.0318002165</v>
      </c>
      <c r="E29">
        <v>29</v>
      </c>
      <c r="G29">
        <f t="shared" si="2"/>
        <v>465557.00002360437</v>
      </c>
      <c r="H29">
        <f t="shared" si="3"/>
        <v>3664396.632799828</v>
      </c>
      <c r="I29">
        <v>29</v>
      </c>
      <c r="K29">
        <f t="shared" si="4"/>
        <v>400291.54546914843</v>
      </c>
      <c r="L29">
        <f t="shared" si="5"/>
        <v>2348669.2037166776</v>
      </c>
      <c r="M29">
        <v>29</v>
      </c>
      <c r="O29">
        <f t="shared" si="6"/>
        <v>400291.54546914843</v>
      </c>
      <c r="P29">
        <f t="shared" si="7"/>
        <v>3698715.6451532561</v>
      </c>
      <c r="Q29">
        <v>29</v>
      </c>
      <c r="S29">
        <f t="shared" si="8"/>
        <v>3931549.2292307629</v>
      </c>
      <c r="T29">
        <f t="shared" si="9"/>
        <v>3259436.1811783686</v>
      </c>
      <c r="U29">
        <v>29</v>
      </c>
      <c r="W29">
        <f t="shared" si="10"/>
        <v>3741477.3098515538</v>
      </c>
      <c r="X29">
        <f t="shared" si="11"/>
        <v>4411044.5558793712</v>
      </c>
    </row>
    <row r="30" spans="1:24">
      <c r="A30">
        <v>30</v>
      </c>
      <c r="C30">
        <f t="shared" si="0"/>
        <v>473249.00002466526</v>
      </c>
      <c r="D30">
        <f t="shared" si="1"/>
        <v>3396201.1942010466</v>
      </c>
      <c r="E30">
        <v>30</v>
      </c>
      <c r="G30">
        <f t="shared" si="2"/>
        <v>473249.00002466526</v>
      </c>
      <c r="H30">
        <f t="shared" si="3"/>
        <v>3720588.1915386179</v>
      </c>
      <c r="I30">
        <v>30</v>
      </c>
      <c r="K30">
        <f t="shared" si="4"/>
        <v>405652.63637897873</v>
      </c>
      <c r="L30">
        <f t="shared" si="5"/>
        <v>2388871.6611408899</v>
      </c>
      <c r="M30">
        <v>30</v>
      </c>
      <c r="O30">
        <f t="shared" si="6"/>
        <v>405652.63637897873</v>
      </c>
      <c r="P30">
        <f t="shared" si="7"/>
        <v>3737095.6297354456</v>
      </c>
      <c r="Q30">
        <v>30</v>
      </c>
      <c r="S30">
        <f t="shared" si="8"/>
        <v>3996317.7809778908</v>
      </c>
      <c r="T30">
        <f t="shared" si="9"/>
        <v>3322958.7436325382</v>
      </c>
      <c r="U30">
        <v>30</v>
      </c>
      <c r="W30">
        <f t="shared" si="10"/>
        <v>3810881.762071345</v>
      </c>
      <c r="X30">
        <f t="shared" si="11"/>
        <v>4481185.7686216831</v>
      </c>
    </row>
    <row r="31" spans="1:24">
      <c r="A31">
        <v>31</v>
      </c>
      <c r="C31">
        <f t="shared" si="0"/>
        <v>480941.00002572616</v>
      </c>
      <c r="D31">
        <f t="shared" si="1"/>
        <v>3452150.5751631106</v>
      </c>
      <c r="E31">
        <v>31</v>
      </c>
      <c r="G31">
        <f t="shared" si="2"/>
        <v>480941.00002572616</v>
      </c>
      <c r="H31">
        <f t="shared" si="3"/>
        <v>3777387.531716174</v>
      </c>
      <c r="I31">
        <v>31</v>
      </c>
      <c r="K31">
        <f t="shared" si="4"/>
        <v>411013.72728880902</v>
      </c>
      <c r="L31">
        <f t="shared" si="5"/>
        <v>2429004.1465769541</v>
      </c>
      <c r="M31">
        <v>31</v>
      </c>
      <c r="O31">
        <f t="shared" si="6"/>
        <v>411013.72728880902</v>
      </c>
      <c r="P31">
        <f t="shared" si="7"/>
        <v>3775545.5863057831</v>
      </c>
      <c r="Q31">
        <v>31</v>
      </c>
      <c r="S31">
        <f t="shared" si="8"/>
        <v>4061086.3327250183</v>
      </c>
      <c r="T31">
        <f t="shared" si="9"/>
        <v>3386290.5409089909</v>
      </c>
      <c r="U31">
        <v>31</v>
      </c>
      <c r="W31">
        <f t="shared" si="10"/>
        <v>3880286.2142911358</v>
      </c>
      <c r="X31">
        <f t="shared" si="11"/>
        <v>4551549.0380162057</v>
      </c>
    </row>
    <row r="32" spans="1:24">
      <c r="A32">
        <v>32</v>
      </c>
      <c r="C32">
        <f t="shared" si="0"/>
        <v>488633.00002678699</v>
      </c>
      <c r="D32">
        <f t="shared" si="1"/>
        <v>3507496.9097276218</v>
      </c>
      <c r="E32">
        <v>32</v>
      </c>
      <c r="G32">
        <f t="shared" si="2"/>
        <v>488633.00002678699</v>
      </c>
      <c r="H32">
        <f t="shared" si="3"/>
        <v>3834789.9182912828</v>
      </c>
      <c r="I32">
        <v>32</v>
      </c>
      <c r="K32">
        <f t="shared" si="4"/>
        <v>416374.81819863932</v>
      </c>
      <c r="L32">
        <f t="shared" si="5"/>
        <v>2469066.3974301489</v>
      </c>
      <c r="M32">
        <v>32</v>
      </c>
      <c r="O32">
        <f t="shared" si="6"/>
        <v>416374.81819863932</v>
      </c>
      <c r="P32">
        <f t="shared" si="7"/>
        <v>3814065.77745899</v>
      </c>
      <c r="Q32">
        <v>32</v>
      </c>
      <c r="S32">
        <f t="shared" si="8"/>
        <v>4125854.8844721457</v>
      </c>
      <c r="T32">
        <f t="shared" si="9"/>
        <v>3449432.7885910622</v>
      </c>
      <c r="U32">
        <v>32</v>
      </c>
      <c r="W32">
        <f t="shared" si="10"/>
        <v>3949690.6665109275</v>
      </c>
      <c r="X32">
        <f t="shared" si="11"/>
        <v>4622133.4141906314</v>
      </c>
    </row>
    <row r="33" spans="1:24">
      <c r="A33">
        <v>33</v>
      </c>
      <c r="C33">
        <f t="shared" ref="C33:C64" si="12">250180.9999939+(A33-1)*7692.00000106087</f>
        <v>496325.00002784783</v>
      </c>
      <c r="D33">
        <f t="shared" ref="D33:D64" si="13">89971.6867579031+7.3289600314658*C33-648725.615101392*(0.0625+(C33-471715.308964356)^2/252318197983.38)^0.5</f>
        <v>3562251.4511177456</v>
      </c>
      <c r="E33">
        <v>33</v>
      </c>
      <c r="G33">
        <f t="shared" ref="G33:G64" si="14">250180.9999939+(E33-1)*7692.00000106087</f>
        <v>496325.00002784783</v>
      </c>
      <c r="H33">
        <f t="shared" ref="H33:H64" si="15">89971.6867579031+7.3289600314658*G33+648725.615101392*(0.0625+(G33-471715.308964356)^2/252318197983.38)^0.5</f>
        <v>3892784.0980407782</v>
      </c>
      <c r="I33">
        <v>33</v>
      </c>
      <c r="K33">
        <f t="shared" ref="K33:K64" si="16">250180.9999939+(I33-1)*5361.0909098303</f>
        <v>421735.90910846961</v>
      </c>
      <c r="L33">
        <f t="shared" ref="L33:L64" si="17">89971.6867579031+7.3289600314658*K33-648725.615101392*(1.0625+(K33-471715.308964356)^2/252318197983.38)^0.5</f>
        <v>2509058.1718738619</v>
      </c>
      <c r="M33">
        <v>33</v>
      </c>
      <c r="O33">
        <f t="shared" ref="O33:O64" si="18">250180.9999939+(M33-1)*5361.0909098303</f>
        <v>421735.90910846961</v>
      </c>
      <c r="P33">
        <f t="shared" ref="P33:P64" si="19">89971.6867579031+7.3289600314658*O33+648725.615101392*(1.0625+(O33-471715.308964356)^2/252318197983.38)^0.5</f>
        <v>3852656.4450216787</v>
      </c>
      <c r="Q33">
        <v>33</v>
      </c>
      <c r="S33">
        <f t="shared" ref="S33:S64" si="20">2118029.78031119+(Q33-1)*64768.5517471276</f>
        <v>4190623.4362192731</v>
      </c>
      <c r="T33">
        <f t="shared" ref="T33:T64" si="21">0+1*S33-648725.615101392*(1.0625+(S33-3547154.33238821)^2/13552932672737.8)^0.5</f>
        <v>3512386.8502072268</v>
      </c>
      <c r="U33">
        <v>33</v>
      </c>
      <c r="W33">
        <f t="shared" ref="W33:W64" si="22">1798152.6476974+(U33-1)*69404.4522197912</f>
        <v>4019095.1187307183</v>
      </c>
      <c r="X33">
        <f t="shared" ref="X33:X64" si="23">0+1*W33+648725.615101392*(1.0625+(W33-3547154.33238821)^2/13552932672737.8)^0.5</f>
        <v>4692937.735646911</v>
      </c>
    </row>
    <row r="34" spans="1:24">
      <c r="A34">
        <v>34</v>
      </c>
      <c r="C34">
        <f t="shared" si="12"/>
        <v>504017.00002890872</v>
      </c>
      <c r="D34">
        <f t="shared" si="13"/>
        <v>3616431.3713939614</v>
      </c>
      <c r="E34">
        <v>34</v>
      </c>
      <c r="G34">
        <f t="shared" si="14"/>
        <v>504017.00002890872</v>
      </c>
      <c r="H34">
        <f t="shared" si="15"/>
        <v>3951352.8989041825</v>
      </c>
      <c r="I34">
        <v>34</v>
      </c>
      <c r="K34">
        <f t="shared" si="16"/>
        <v>427097.00001829991</v>
      </c>
      <c r="L34">
        <f t="shared" si="17"/>
        <v>2548979.2492223419</v>
      </c>
      <c r="M34">
        <v>34</v>
      </c>
      <c r="O34">
        <f t="shared" si="18"/>
        <v>427097.00001829991</v>
      </c>
      <c r="P34">
        <f t="shared" si="19"/>
        <v>3891317.8096796004</v>
      </c>
      <c r="Q34">
        <v>34</v>
      </c>
      <c r="S34">
        <f t="shared" si="20"/>
        <v>4255391.9879664015</v>
      </c>
      <c r="T34">
        <f t="shared" si="21"/>
        <v>3575154.2316782237</v>
      </c>
      <c r="U34">
        <v>34</v>
      </c>
      <c r="W34">
        <f t="shared" si="22"/>
        <v>4088499.57095051</v>
      </c>
      <c r="X34">
        <f t="shared" si="23"/>
        <v>4763960.6348999087</v>
      </c>
    </row>
    <row r="35" spans="1:24">
      <c r="A35">
        <v>35</v>
      </c>
      <c r="C35">
        <f t="shared" si="12"/>
        <v>511709.00002996961</v>
      </c>
      <c r="D35">
        <f t="shared" si="13"/>
        <v>3670058.8944064314</v>
      </c>
      <c r="E35">
        <v>35</v>
      </c>
      <c r="G35">
        <f t="shared" si="14"/>
        <v>511709.00002996961</v>
      </c>
      <c r="H35">
        <f t="shared" si="15"/>
        <v>4010474.0970313335</v>
      </c>
      <c r="I35">
        <v>35</v>
      </c>
      <c r="K35">
        <f t="shared" si="16"/>
        <v>432458.0909281302</v>
      </c>
      <c r="L35">
        <f t="shared" si="17"/>
        <v>2588829.4302733713</v>
      </c>
      <c r="M35">
        <v>35</v>
      </c>
      <c r="O35">
        <f t="shared" si="18"/>
        <v>432458.0909281302</v>
      </c>
      <c r="P35">
        <f t="shared" si="19"/>
        <v>3930050.0706349728</v>
      </c>
      <c r="Q35">
        <v>35</v>
      </c>
      <c r="S35">
        <f t="shared" si="20"/>
        <v>4320160.539713528</v>
      </c>
      <c r="T35">
        <f t="shared" si="21"/>
        <v>3637736.5752894673</v>
      </c>
      <c r="U35">
        <v>35</v>
      </c>
      <c r="W35">
        <f t="shared" si="22"/>
        <v>4157904.0231703008</v>
      </c>
      <c r="X35">
        <f t="shared" si="23"/>
        <v>4835200.5450310018</v>
      </c>
    </row>
    <row r="36" spans="1:24">
      <c r="A36">
        <v>36</v>
      </c>
      <c r="C36">
        <f t="shared" si="12"/>
        <v>519401.00003103045</v>
      </c>
      <c r="D36">
        <f t="shared" si="13"/>
        <v>3723160.257627727</v>
      </c>
      <c r="E36">
        <v>36</v>
      </c>
      <c r="G36">
        <f t="shared" si="14"/>
        <v>519401.00003103045</v>
      </c>
      <c r="H36">
        <f t="shared" si="15"/>
        <v>4070121.454949657</v>
      </c>
      <c r="I36">
        <v>36</v>
      </c>
      <c r="K36">
        <f t="shared" si="16"/>
        <v>437819.1818379605</v>
      </c>
      <c r="L36">
        <f t="shared" si="17"/>
        <v>2628608.5376196541</v>
      </c>
      <c r="M36">
        <v>36</v>
      </c>
      <c r="O36">
        <f t="shared" si="18"/>
        <v>437819.1818379605</v>
      </c>
      <c r="P36">
        <f t="shared" si="19"/>
        <v>3968853.4052950917</v>
      </c>
      <c r="Q36">
        <v>36</v>
      </c>
      <c r="S36">
        <f t="shared" si="20"/>
        <v>4384929.0914606564</v>
      </c>
      <c r="T36">
        <f t="shared" si="21"/>
        <v>3700135.6532428907</v>
      </c>
      <c r="U36">
        <v>36</v>
      </c>
      <c r="W36">
        <f t="shared" si="22"/>
        <v>4227308.4753900925</v>
      </c>
      <c r="X36">
        <f t="shared" si="23"/>
        <v>4906655.7070848346</v>
      </c>
    </row>
    <row r="37" spans="1:24">
      <c r="A37">
        <v>37</v>
      </c>
      <c r="C37">
        <f t="shared" si="12"/>
        <v>527093.00003209128</v>
      </c>
      <c r="D37">
        <f t="shared" si="13"/>
        <v>3775764.6058605975</v>
      </c>
      <c r="E37">
        <v>37</v>
      </c>
      <c r="G37">
        <f t="shared" si="14"/>
        <v>527093.00003209128</v>
      </c>
      <c r="H37">
        <f t="shared" si="15"/>
        <v>4130265.8278564056</v>
      </c>
      <c r="I37">
        <v>37</v>
      </c>
      <c r="K37">
        <f t="shared" si="16"/>
        <v>443180.27274779079</v>
      </c>
      <c r="L37">
        <f t="shared" si="17"/>
        <v>2668316.4159277813</v>
      </c>
      <c r="M37">
        <v>37</v>
      </c>
      <c r="O37">
        <f t="shared" si="18"/>
        <v>443180.27274779079</v>
      </c>
      <c r="P37">
        <f t="shared" si="19"/>
        <v>4007727.9689933662</v>
      </c>
      <c r="Q37">
        <v>37</v>
      </c>
      <c r="S37">
        <f t="shared" si="20"/>
        <v>4449697.6432077838</v>
      </c>
      <c r="T37">
        <f t="shared" si="21"/>
        <v>3762353.360844465</v>
      </c>
      <c r="U37">
        <v>37</v>
      </c>
      <c r="W37">
        <f t="shared" si="22"/>
        <v>4296712.9276098832</v>
      </c>
      <c r="X37">
        <f t="shared" si="23"/>
        <v>4978324.1782298926</v>
      </c>
    </row>
    <row r="38" spans="1:24">
      <c r="A38">
        <v>38</v>
      </c>
      <c r="C38">
        <f t="shared" si="12"/>
        <v>534785.00003315229</v>
      </c>
      <c r="D38">
        <f t="shared" si="13"/>
        <v>3827902.909855654</v>
      </c>
      <c r="E38">
        <v>38</v>
      </c>
      <c r="G38">
        <f t="shared" si="14"/>
        <v>534785.00003315229</v>
      </c>
      <c r="H38">
        <f t="shared" si="15"/>
        <v>4190876.2450009719</v>
      </c>
      <c r="I38">
        <v>38</v>
      </c>
      <c r="K38">
        <f t="shared" si="16"/>
        <v>448541.36365762108</v>
      </c>
      <c r="L38">
        <f t="shared" si="17"/>
        <v>2707952.9321837658</v>
      </c>
      <c r="M38">
        <v>38</v>
      </c>
      <c r="O38">
        <f t="shared" si="18"/>
        <v>448541.36365762108</v>
      </c>
      <c r="P38">
        <f t="shared" si="19"/>
        <v>4046673.8947437834</v>
      </c>
      <c r="Q38">
        <v>38</v>
      </c>
      <c r="S38">
        <f t="shared" si="20"/>
        <v>4514466.1949549112</v>
      </c>
      <c r="T38">
        <f t="shared" si="21"/>
        <v>3824391.7093850109</v>
      </c>
      <c r="U38">
        <v>38</v>
      </c>
      <c r="W38">
        <f t="shared" si="22"/>
        <v>4366117.379829675</v>
      </c>
      <c r="X38">
        <f t="shared" si="23"/>
        <v>5050203.8405976063</v>
      </c>
    </row>
    <row r="39" spans="1:24">
      <c r="A39">
        <v>39</v>
      </c>
      <c r="C39">
        <f t="shared" si="12"/>
        <v>542477.00003421307</v>
      </c>
      <c r="D39">
        <f t="shared" si="13"/>
        <v>3879606.9818179607</v>
      </c>
      <c r="E39">
        <v>39</v>
      </c>
      <c r="G39">
        <f t="shared" si="14"/>
        <v>542477.00003421307</v>
      </c>
      <c r="H39">
        <f t="shared" si="15"/>
        <v>4251920.8941782834</v>
      </c>
      <c r="I39">
        <v>39</v>
      </c>
      <c r="K39">
        <f t="shared" si="16"/>
        <v>453902.45456745138</v>
      </c>
      <c r="L39">
        <f t="shared" si="17"/>
        <v>2747517.9759042514</v>
      </c>
      <c r="M39">
        <v>39</v>
      </c>
      <c r="O39">
        <f t="shared" si="18"/>
        <v>453902.45456745138</v>
      </c>
      <c r="P39">
        <f t="shared" si="19"/>
        <v>4085691.2930296995</v>
      </c>
      <c r="Q39">
        <v>39</v>
      </c>
      <c r="S39">
        <f t="shared" si="20"/>
        <v>4579234.7467020396</v>
      </c>
      <c r="T39">
        <f t="shared" si="21"/>
        <v>3886252.8187723435</v>
      </c>
      <c r="U39">
        <v>39</v>
      </c>
      <c r="W39">
        <f t="shared" si="22"/>
        <v>4435521.8320494657</v>
      </c>
      <c r="X39">
        <f t="shared" si="23"/>
        <v>5122292.4107101811</v>
      </c>
    </row>
    <row r="40" spans="1:24">
      <c r="A40">
        <v>40</v>
      </c>
      <c r="C40">
        <f t="shared" si="12"/>
        <v>550169.00003527396</v>
      </c>
      <c r="D40">
        <f t="shared" si="13"/>
        <v>3930908.6340751261</v>
      </c>
      <c r="E40">
        <v>40</v>
      </c>
      <c r="G40">
        <f t="shared" si="14"/>
        <v>550169.00003527396</v>
      </c>
      <c r="H40">
        <f t="shared" si="15"/>
        <v>4313367.9630607376</v>
      </c>
      <c r="I40">
        <v>40</v>
      </c>
      <c r="K40">
        <f t="shared" si="16"/>
        <v>459263.54547728167</v>
      </c>
      <c r="L40">
        <f t="shared" si="17"/>
        <v>2787011.4593126122</v>
      </c>
      <c r="M40">
        <v>40</v>
      </c>
      <c r="O40">
        <f t="shared" si="18"/>
        <v>459263.54547728167</v>
      </c>
      <c r="P40">
        <f t="shared" si="19"/>
        <v>4124780.2516277405</v>
      </c>
      <c r="Q40">
        <v>40</v>
      </c>
      <c r="S40">
        <f t="shared" si="20"/>
        <v>4644003.2984491661</v>
      </c>
      <c r="T40">
        <f t="shared" si="21"/>
        <v>3947938.9099725434</v>
      </c>
      <c r="U40">
        <v>40</v>
      </c>
      <c r="W40">
        <f t="shared" si="22"/>
        <v>4504926.2842692565</v>
      </c>
      <c r="X40">
        <f t="shared" si="23"/>
        <v>5194587.4494045069</v>
      </c>
    </row>
    <row r="41" spans="1:24">
      <c r="A41">
        <v>41</v>
      </c>
      <c r="C41">
        <f t="shared" si="12"/>
        <v>557861.00003633485</v>
      </c>
      <c r="D41">
        <f t="shared" si="13"/>
        <v>3981839.0024118489</v>
      </c>
      <c r="E41">
        <v>41</v>
      </c>
      <c r="G41">
        <f t="shared" si="14"/>
        <v>557861.00003633485</v>
      </c>
      <c r="H41">
        <f t="shared" si="15"/>
        <v>4375186.3158636363</v>
      </c>
      <c r="I41">
        <v>41</v>
      </c>
      <c r="K41">
        <f t="shared" si="16"/>
        <v>464624.63638711203</v>
      </c>
      <c r="L41">
        <f t="shared" si="17"/>
        <v>2826433.3174792929</v>
      </c>
      <c r="M41">
        <v>41</v>
      </c>
      <c r="O41">
        <f t="shared" si="18"/>
        <v>464624.63638711203</v>
      </c>
      <c r="P41">
        <f t="shared" si="19"/>
        <v>4163940.8354674624</v>
      </c>
      <c r="Q41">
        <v>41</v>
      </c>
      <c r="S41">
        <f t="shared" si="20"/>
        <v>4708771.8501962945</v>
      </c>
      <c r="T41">
        <f t="shared" si="21"/>
        <v>4009452.2973171473</v>
      </c>
      <c r="U41">
        <v>41</v>
      </c>
      <c r="W41">
        <f t="shared" si="22"/>
        <v>4574330.7364890482</v>
      </c>
      <c r="X41">
        <f t="shared" si="23"/>
        <v>5267086.3721580813</v>
      </c>
    </row>
    <row r="42" spans="1:24">
      <c r="A42">
        <v>42</v>
      </c>
      <c r="C42">
        <f t="shared" si="12"/>
        <v>565553.00003739563</v>
      </c>
      <c r="D42">
        <f t="shared" si="13"/>
        <v>4032428.0353725185</v>
      </c>
      <c r="E42">
        <v>42</v>
      </c>
      <c r="G42">
        <f t="shared" si="14"/>
        <v>565553.00003739563</v>
      </c>
      <c r="H42">
        <f t="shared" si="15"/>
        <v>4437346.0040425854</v>
      </c>
      <c r="I42">
        <v>42</v>
      </c>
      <c r="K42">
        <f t="shared" si="16"/>
        <v>469985.72729694232</v>
      </c>
      <c r="L42">
        <f t="shared" si="17"/>
        <v>2865783.5084258644</v>
      </c>
      <c r="M42">
        <v>42</v>
      </c>
      <c r="O42">
        <f t="shared" si="18"/>
        <v>469985.72729694232</v>
      </c>
      <c r="P42">
        <f t="shared" si="19"/>
        <v>4203173.0865272926</v>
      </c>
      <c r="Q42">
        <v>42</v>
      </c>
      <c r="S42">
        <f t="shared" si="20"/>
        <v>4773540.4019434219</v>
      </c>
      <c r="T42">
        <f t="shared" si="21"/>
        <v>4070795.3807313005</v>
      </c>
      <c r="U42">
        <v>42</v>
      </c>
      <c r="W42">
        <f t="shared" si="22"/>
        <v>4643735.188708839</v>
      </c>
      <c r="X42">
        <f t="shared" si="23"/>
        <v>5339786.4597230209</v>
      </c>
    </row>
    <row r="43" spans="1:24">
      <c r="A43">
        <v>43</v>
      </c>
      <c r="C43">
        <f t="shared" si="12"/>
        <v>573245.00003845664</v>
      </c>
      <c r="D43">
        <f t="shared" si="13"/>
        <v>4082704.1367058512</v>
      </c>
      <c r="E43">
        <v>43</v>
      </c>
      <c r="G43">
        <f t="shared" si="14"/>
        <v>573245.00003845664</v>
      </c>
      <c r="H43">
        <f t="shared" si="15"/>
        <v>4499818.623848876</v>
      </c>
      <c r="I43">
        <v>43</v>
      </c>
      <c r="K43">
        <f t="shared" si="16"/>
        <v>475346.81820677262</v>
      </c>
      <c r="L43">
        <f t="shared" si="17"/>
        <v>2905062.0131924143</v>
      </c>
      <c r="M43">
        <v>43</v>
      </c>
      <c r="O43">
        <f t="shared" si="18"/>
        <v>475346.81820677262</v>
      </c>
      <c r="P43">
        <f t="shared" si="19"/>
        <v>4242477.0237671444</v>
      </c>
      <c r="Q43">
        <v>43</v>
      </c>
      <c r="S43">
        <f t="shared" si="20"/>
        <v>4838308.9536905494</v>
      </c>
      <c r="T43">
        <f t="shared" si="21"/>
        <v>4131970.6379357409</v>
      </c>
      <c r="U43">
        <v>43</v>
      </c>
      <c r="W43">
        <f t="shared" si="22"/>
        <v>4713139.6409286307</v>
      </c>
      <c r="X43">
        <f t="shared" si="23"/>
        <v>5412684.8689757306</v>
      </c>
    </row>
    <row r="44" spans="1:24">
      <c r="A44">
        <v>44</v>
      </c>
      <c r="C44">
        <f t="shared" si="12"/>
        <v>580937.00003951741</v>
      </c>
      <c r="D44">
        <f t="shared" si="13"/>
        <v>4132693.9399464265</v>
      </c>
      <c r="E44">
        <v>44</v>
      </c>
      <c r="G44">
        <f t="shared" si="14"/>
        <v>580937.00003951741</v>
      </c>
      <c r="H44">
        <f t="shared" si="15"/>
        <v>4562577.5417479174</v>
      </c>
      <c r="I44">
        <v>44</v>
      </c>
      <c r="K44">
        <f t="shared" si="16"/>
        <v>480707.90911660291</v>
      </c>
      <c r="L44">
        <f t="shared" si="17"/>
        <v>2944268.8358680098</v>
      </c>
      <c r="M44">
        <v>44</v>
      </c>
      <c r="O44">
        <f t="shared" si="18"/>
        <v>480707.90911660291</v>
      </c>
      <c r="P44">
        <f t="shared" si="19"/>
        <v>4281852.6430979501</v>
      </c>
      <c r="Q44">
        <v>44</v>
      </c>
      <c r="S44">
        <f t="shared" si="20"/>
        <v>4903077.5054376768</v>
      </c>
      <c r="T44">
        <f t="shared" si="21"/>
        <v>4192980.6166726053</v>
      </c>
      <c r="U44">
        <v>44</v>
      </c>
      <c r="W44">
        <f t="shared" si="22"/>
        <v>4782544.0931484215</v>
      </c>
      <c r="X44">
        <f t="shared" si="23"/>
        <v>5485778.6438925071</v>
      </c>
    </row>
    <row r="45" spans="1:24">
      <c r="A45">
        <v>45</v>
      </c>
      <c r="C45">
        <f t="shared" si="12"/>
        <v>588629.00004057831</v>
      </c>
      <c r="D45">
        <f t="shared" si="13"/>
        <v>4182422.1908196318</v>
      </c>
      <c r="E45">
        <v>45</v>
      </c>
      <c r="G45">
        <f t="shared" si="14"/>
        <v>588629.00004057831</v>
      </c>
      <c r="H45">
        <f t="shared" si="15"/>
        <v>4625598.0120143332</v>
      </c>
      <c r="I45">
        <v>45</v>
      </c>
      <c r="K45">
        <f t="shared" si="16"/>
        <v>486069.0000264332</v>
      </c>
      <c r="L45">
        <f t="shared" si="17"/>
        <v>2983404.0035841279</v>
      </c>
      <c r="M45">
        <v>45</v>
      </c>
      <c r="O45">
        <f t="shared" si="18"/>
        <v>486069.0000264332</v>
      </c>
      <c r="P45">
        <f t="shared" si="19"/>
        <v>4321299.9173882343</v>
      </c>
      <c r="Q45">
        <v>45</v>
      </c>
      <c r="S45">
        <f t="shared" si="20"/>
        <v>4967846.0571848042</v>
      </c>
      <c r="T45">
        <f t="shared" si="21"/>
        <v>4253827.9270018879</v>
      </c>
      <c r="U45">
        <v>45</v>
      </c>
      <c r="W45">
        <f t="shared" si="22"/>
        <v>4851948.5453682132</v>
      </c>
      <c r="X45">
        <f t="shared" si="23"/>
        <v>5559064.726565307</v>
      </c>
    </row>
    <row r="46" spans="1:24">
      <c r="A46">
        <v>46</v>
      </c>
      <c r="C46">
        <f t="shared" si="12"/>
        <v>596321.0000416392</v>
      </c>
      <c r="D46">
        <f t="shared" si="13"/>
        <v>4231911.7133022323</v>
      </c>
      <c r="E46">
        <v>46</v>
      </c>
      <c r="G46">
        <f t="shared" si="14"/>
        <v>596321.0000416392</v>
      </c>
      <c r="H46">
        <f t="shared" si="15"/>
        <v>4688857.2106713541</v>
      </c>
      <c r="I46">
        <v>46</v>
      </c>
      <c r="K46">
        <f t="shared" si="16"/>
        <v>491430.0909362635</v>
      </c>
      <c r="L46">
        <f t="shared" si="17"/>
        <v>3022467.5664710682</v>
      </c>
      <c r="M46">
        <v>46</v>
      </c>
      <c r="O46">
        <f t="shared" si="18"/>
        <v>491430.0909362635</v>
      </c>
      <c r="P46">
        <f t="shared" si="19"/>
        <v>4360818.7965076957</v>
      </c>
      <c r="Q46">
        <v>46</v>
      </c>
      <c r="S46">
        <f t="shared" si="20"/>
        <v>5032614.6089319326</v>
      </c>
      <c r="T46">
        <f t="shared" si="21"/>
        <v>4314515.2337117884</v>
      </c>
      <c r="U46">
        <v>46</v>
      </c>
      <c r="W46">
        <f t="shared" si="22"/>
        <v>4921352.997588004</v>
      </c>
      <c r="X46">
        <f t="shared" si="23"/>
        <v>5632539.9681766424</v>
      </c>
    </row>
    <row r="47" spans="1:24">
      <c r="A47">
        <v>47</v>
      </c>
      <c r="C47">
        <f t="shared" si="12"/>
        <v>604013.00004269998</v>
      </c>
      <c r="D47">
        <f t="shared" si="13"/>
        <v>4281183.437424385</v>
      </c>
      <c r="E47">
        <v>47</v>
      </c>
      <c r="G47">
        <f t="shared" si="14"/>
        <v>604013.00004269998</v>
      </c>
      <c r="H47">
        <f t="shared" si="15"/>
        <v>4752334.2076888187</v>
      </c>
      <c r="I47">
        <v>47</v>
      </c>
      <c r="K47">
        <f t="shared" si="16"/>
        <v>496791.18184609385</v>
      </c>
      <c r="L47">
        <f t="shared" si="17"/>
        <v>3061459.5975775234</v>
      </c>
      <c r="M47">
        <v>47</v>
      </c>
      <c r="O47">
        <f t="shared" si="18"/>
        <v>496791.18184609385</v>
      </c>
      <c r="P47">
        <f t="shared" si="19"/>
        <v>4400409.2074076431</v>
      </c>
      <c r="Q47">
        <v>47</v>
      </c>
      <c r="S47">
        <f t="shared" si="20"/>
        <v>5097383.16067906</v>
      </c>
      <c r="T47">
        <f t="shared" si="21"/>
        <v>4375045.2488823757</v>
      </c>
      <c r="U47">
        <v>47</v>
      </c>
      <c r="W47">
        <f t="shared" si="22"/>
        <v>4990757.4498077957</v>
      </c>
      <c r="X47">
        <f t="shared" si="23"/>
        <v>5706201.1398583027</v>
      </c>
    </row>
    <row r="48" spans="1:24">
      <c r="A48">
        <v>48</v>
      </c>
      <c r="C48">
        <f t="shared" si="12"/>
        <v>611705.00004376099</v>
      </c>
      <c r="D48">
        <f t="shared" si="13"/>
        <v>4330256.4701853804</v>
      </c>
      <c r="E48">
        <v>48</v>
      </c>
      <c r="G48">
        <f t="shared" si="14"/>
        <v>611705.00004376099</v>
      </c>
      <c r="H48">
        <f t="shared" si="15"/>
        <v>4816009.8960674461</v>
      </c>
      <c r="I48">
        <v>48</v>
      </c>
      <c r="K48">
        <f t="shared" si="16"/>
        <v>502152.27275592415</v>
      </c>
      <c r="L48">
        <f t="shared" si="17"/>
        <v>3100380.1927535958</v>
      </c>
      <c r="M48">
        <v>48</v>
      </c>
      <c r="O48">
        <f t="shared" si="18"/>
        <v>502152.27275592415</v>
      </c>
      <c r="P48">
        <f t="shared" si="19"/>
        <v>4440071.0542379729</v>
      </c>
      <c r="Q48">
        <v>48</v>
      </c>
      <c r="S48">
        <f t="shared" si="20"/>
        <v>5162151.7124261875</v>
      </c>
      <c r="T48">
        <f t="shared" si="21"/>
        <v>4435420.7246379908</v>
      </c>
      <c r="U48">
        <v>48</v>
      </c>
      <c r="W48">
        <f t="shared" si="22"/>
        <v>5060161.9020275865</v>
      </c>
      <c r="X48">
        <f t="shared" si="23"/>
        <v>5780044.9433647776</v>
      </c>
    </row>
    <row r="49" spans="1:24">
      <c r="A49">
        <v>49</v>
      </c>
      <c r="C49">
        <f t="shared" si="12"/>
        <v>619397.00004482176</v>
      </c>
      <c r="D49">
        <f t="shared" si="13"/>
        <v>4379148.1945238281</v>
      </c>
      <c r="E49">
        <v>49</v>
      </c>
      <c r="G49">
        <f t="shared" si="14"/>
        <v>619397.00004482176</v>
      </c>
      <c r="H49">
        <f t="shared" si="15"/>
        <v>4879866.8928686175</v>
      </c>
      <c r="I49">
        <v>49</v>
      </c>
      <c r="K49">
        <f t="shared" si="16"/>
        <v>507513.36366575444</v>
      </c>
      <c r="L49">
        <f t="shared" si="17"/>
        <v>3139229.470497706</v>
      </c>
      <c r="M49">
        <v>49</v>
      </c>
      <c r="O49">
        <f t="shared" si="18"/>
        <v>507513.36366575444</v>
      </c>
      <c r="P49">
        <f t="shared" si="19"/>
        <v>4479804.218500264</v>
      </c>
      <c r="Q49">
        <v>49</v>
      </c>
      <c r="S49">
        <f t="shared" si="20"/>
        <v>5226920.2641733149</v>
      </c>
      <c r="T49">
        <f t="shared" si="21"/>
        <v>4495644.4461196885</v>
      </c>
      <c r="U49">
        <v>49</v>
      </c>
      <c r="W49">
        <f t="shared" si="22"/>
        <v>5129566.3542473782</v>
      </c>
      <c r="X49">
        <f t="shared" si="23"/>
        <v>5854068.0214990415</v>
      </c>
    </row>
    <row r="50" spans="1:24">
      <c r="A50">
        <v>50</v>
      </c>
      <c r="C50">
        <f t="shared" si="12"/>
        <v>627089.00004588265</v>
      </c>
      <c r="D50">
        <f t="shared" si="13"/>
        <v>4427874.3846718473</v>
      </c>
      <c r="E50">
        <v>50</v>
      </c>
      <c r="G50">
        <f t="shared" si="14"/>
        <v>627089.00004588265</v>
      </c>
      <c r="H50">
        <f t="shared" si="15"/>
        <v>4943889.4238602174</v>
      </c>
      <c r="I50">
        <v>50</v>
      </c>
      <c r="K50">
        <f t="shared" si="16"/>
        <v>512874.45457558474</v>
      </c>
      <c r="L50">
        <f t="shared" si="17"/>
        <v>3178007.5717679579</v>
      </c>
      <c r="M50">
        <v>50</v>
      </c>
      <c r="O50">
        <f t="shared" si="18"/>
        <v>512874.45457558474</v>
      </c>
      <c r="P50">
        <f t="shared" si="19"/>
        <v>4519608.5592364138</v>
      </c>
      <c r="Q50">
        <v>50</v>
      </c>
      <c r="S50">
        <f t="shared" si="20"/>
        <v>5291688.8159204423</v>
      </c>
      <c r="T50">
        <f t="shared" si="21"/>
        <v>4555719.2247048998</v>
      </c>
      <c r="U50">
        <v>50</v>
      </c>
      <c r="W50">
        <f t="shared" si="22"/>
        <v>5198970.806467169</v>
      </c>
      <c r="X50">
        <f t="shared" si="23"/>
        <v>5928266.9682353176</v>
      </c>
    </row>
    <row r="51" spans="1:24">
      <c r="A51">
        <v>51</v>
      </c>
      <c r="C51">
        <f t="shared" si="12"/>
        <v>634781.00004694355</v>
      </c>
      <c r="D51">
        <f t="shared" si="13"/>
        <v>4476449.3291919474</v>
      </c>
      <c r="E51">
        <v>51</v>
      </c>
      <c r="G51">
        <f t="shared" si="14"/>
        <v>634781.00004694355</v>
      </c>
      <c r="H51">
        <f t="shared" si="15"/>
        <v>5008063.2004797384</v>
      </c>
      <c r="I51">
        <v>51</v>
      </c>
      <c r="K51">
        <f t="shared" si="16"/>
        <v>518235.54548541503</v>
      </c>
      <c r="L51">
        <f t="shared" si="17"/>
        <v>3216714.6597586544</v>
      </c>
      <c r="M51">
        <v>51</v>
      </c>
      <c r="O51">
        <f t="shared" si="18"/>
        <v>518235.54548541503</v>
      </c>
      <c r="P51">
        <f t="shared" si="19"/>
        <v>4559483.913252119</v>
      </c>
      <c r="Q51">
        <v>51</v>
      </c>
      <c r="S51">
        <f t="shared" si="20"/>
        <v>5356457.3676675707</v>
      </c>
      <c r="T51">
        <f t="shared" si="21"/>
        <v>4615647.8914973987</v>
      </c>
      <c r="U51">
        <v>51</v>
      </c>
      <c r="W51">
        <f t="shared" si="22"/>
        <v>5268375.2586869597</v>
      </c>
      <c r="X51">
        <f t="shared" si="23"/>
        <v>6002638.3384906668</v>
      </c>
    </row>
    <row r="52" spans="1:24">
      <c r="A52">
        <v>52</v>
      </c>
      <c r="C52">
        <f t="shared" si="12"/>
        <v>642473.00004800432</v>
      </c>
      <c r="D52">
        <f t="shared" si="13"/>
        <v>4524885.9554561051</v>
      </c>
      <c r="E52">
        <v>52</v>
      </c>
      <c r="G52">
        <f t="shared" si="14"/>
        <v>642473.00004800432</v>
      </c>
      <c r="H52">
        <f t="shared" si="15"/>
        <v>5072375.2953551998</v>
      </c>
      <c r="I52">
        <v>52</v>
      </c>
      <c r="K52">
        <f t="shared" si="16"/>
        <v>523596.63639524532</v>
      </c>
      <c r="L52">
        <f t="shared" si="17"/>
        <v>3255350.9196427935</v>
      </c>
      <c r="M52">
        <v>52</v>
      </c>
      <c r="O52">
        <f t="shared" si="18"/>
        <v>523596.63639524532</v>
      </c>
      <c r="P52">
        <f t="shared" si="19"/>
        <v>4599430.0953743812</v>
      </c>
      <c r="Q52">
        <v>52</v>
      </c>
      <c r="S52">
        <f t="shared" si="20"/>
        <v>5421225.9194146972</v>
      </c>
      <c r="T52">
        <f t="shared" si="21"/>
        <v>4675433.2911066292</v>
      </c>
      <c r="U52">
        <v>52</v>
      </c>
      <c r="W52">
        <f t="shared" si="22"/>
        <v>5337779.7109067515</v>
      </c>
      <c r="X52">
        <f t="shared" si="23"/>
        <v>6077178.6575043611</v>
      </c>
    </row>
    <row r="53" spans="1:24">
      <c r="A53">
        <v>53</v>
      </c>
      <c r="C53">
        <f t="shared" si="12"/>
        <v>650165.00004906533</v>
      </c>
      <c r="D53">
        <f t="shared" si="13"/>
        <v>4573195.951281203</v>
      </c>
      <c r="E53">
        <v>53</v>
      </c>
      <c r="G53">
        <f t="shared" si="14"/>
        <v>650165.00004906533</v>
      </c>
      <c r="H53">
        <f t="shared" si="15"/>
        <v>5136814.0206697229</v>
      </c>
      <c r="I53">
        <v>53</v>
      </c>
      <c r="K53">
        <f t="shared" si="16"/>
        <v>528957.72730507562</v>
      </c>
      <c r="L53">
        <f t="shared" si="17"/>
        <v>3293916.5582814808</v>
      </c>
      <c r="M53">
        <v>53</v>
      </c>
      <c r="O53">
        <f t="shared" si="18"/>
        <v>528957.72730507562</v>
      </c>
      <c r="P53">
        <f t="shared" si="19"/>
        <v>4639446.8987420956</v>
      </c>
      <c r="Q53">
        <v>53</v>
      </c>
      <c r="S53">
        <f t="shared" si="20"/>
        <v>5485994.4711618256</v>
      </c>
      <c r="T53">
        <f t="shared" si="21"/>
        <v>4735078.275731625</v>
      </c>
      <c r="U53">
        <v>53</v>
      </c>
      <c r="W53">
        <f t="shared" si="22"/>
        <v>5407184.1631265422</v>
      </c>
      <c r="X53">
        <f t="shared" si="23"/>
        <v>6151884.4297910845</v>
      </c>
    </row>
    <row r="54" spans="1:24">
      <c r="A54">
        <v>54</v>
      </c>
      <c r="C54">
        <f t="shared" si="12"/>
        <v>657857.00005012611</v>
      </c>
      <c r="D54">
        <f t="shared" si="13"/>
        <v>4621389.8809349341</v>
      </c>
      <c r="E54">
        <v>54</v>
      </c>
      <c r="G54">
        <f t="shared" si="14"/>
        <v>657857.00005012611</v>
      </c>
      <c r="H54">
        <f t="shared" si="15"/>
        <v>5201368.8121556109</v>
      </c>
      <c r="I54">
        <v>54</v>
      </c>
      <c r="K54">
        <f t="shared" si="16"/>
        <v>534318.81821490591</v>
      </c>
      <c r="L54">
        <f t="shared" si="17"/>
        <v>3332411.8039013082</v>
      </c>
      <c r="M54">
        <v>54</v>
      </c>
      <c r="O54">
        <f t="shared" si="18"/>
        <v>534318.81821490591</v>
      </c>
      <c r="P54">
        <f t="shared" si="19"/>
        <v>4679534.0951286703</v>
      </c>
      <c r="Q54">
        <v>54</v>
      </c>
      <c r="S54">
        <f t="shared" si="20"/>
        <v>5550763.022908953</v>
      </c>
      <c r="T54">
        <f t="shared" si="21"/>
        <v>4794585.699561011</v>
      </c>
      <c r="U54">
        <v>54</v>
      </c>
      <c r="W54">
        <f t="shared" si="22"/>
        <v>5476588.6153463339</v>
      </c>
      <c r="X54">
        <f t="shared" si="23"/>
        <v>6226752.1476408504</v>
      </c>
    </row>
    <row r="55" spans="1:24">
      <c r="A55">
        <v>55</v>
      </c>
      <c r="C55">
        <f t="shared" si="12"/>
        <v>665549.000051187</v>
      </c>
      <c r="D55">
        <f t="shared" si="13"/>
        <v>4669477.293842488</v>
      </c>
      <c r="E55">
        <v>55</v>
      </c>
      <c r="G55">
        <f t="shared" si="14"/>
        <v>665549.000051187</v>
      </c>
      <c r="H55">
        <f t="shared" si="15"/>
        <v>5266030.120387678</v>
      </c>
      <c r="I55">
        <v>55</v>
      </c>
      <c r="K55">
        <f t="shared" si="16"/>
        <v>539679.90912473621</v>
      </c>
      <c r="L55">
        <f t="shared" si="17"/>
        <v>3370836.9057408636</v>
      </c>
      <c r="M55">
        <v>55</v>
      </c>
      <c r="O55">
        <f t="shared" si="18"/>
        <v>539679.90912473621</v>
      </c>
      <c r="P55">
        <f t="shared" si="19"/>
        <v>4719691.4352955166</v>
      </c>
      <c r="Q55">
        <v>55</v>
      </c>
      <c r="S55">
        <f t="shared" si="20"/>
        <v>5615531.5746560805</v>
      </c>
      <c r="T55">
        <f t="shared" si="21"/>
        <v>4853958.4134972012</v>
      </c>
      <c r="U55">
        <v>55</v>
      </c>
      <c r="W55">
        <f t="shared" si="22"/>
        <v>5545993.0675661247</v>
      </c>
      <c r="X55">
        <f t="shared" si="23"/>
        <v>6301778.2991449693</v>
      </c>
    </row>
    <row r="56" spans="1:24">
      <c r="A56">
        <v>56</v>
      </c>
      <c r="C56">
        <f t="shared" si="12"/>
        <v>673241.00005224789</v>
      </c>
      <c r="D56">
        <f t="shared" si="13"/>
        <v>4717466.8251310075</v>
      </c>
      <c r="E56">
        <v>56</v>
      </c>
      <c r="G56">
        <f t="shared" si="14"/>
        <v>673241.00005224789</v>
      </c>
      <c r="H56">
        <f t="shared" si="15"/>
        <v>5330789.3102387777</v>
      </c>
      <c r="I56">
        <v>56</v>
      </c>
      <c r="K56">
        <f t="shared" si="16"/>
        <v>545041.0000345665</v>
      </c>
      <c r="L56">
        <f t="shared" si="17"/>
        <v>3409192.1336676264</v>
      </c>
      <c r="M56">
        <v>56</v>
      </c>
      <c r="O56">
        <f t="shared" si="18"/>
        <v>545041.0000345665</v>
      </c>
      <c r="P56">
        <f t="shared" si="19"/>
        <v>4759918.6493751546</v>
      </c>
      <c r="Q56">
        <v>56</v>
      </c>
      <c r="S56">
        <f t="shared" si="20"/>
        <v>5680300.1264032088</v>
      </c>
      <c r="T56">
        <f t="shared" si="21"/>
        <v>4913199.2602096042</v>
      </c>
      <c r="U56">
        <v>56</v>
      </c>
      <c r="W56">
        <f t="shared" si="22"/>
        <v>5615397.5197859164</v>
      </c>
      <c r="X56">
        <f t="shared" si="23"/>
        <v>6376959.3757336438</v>
      </c>
    </row>
    <row r="57" spans="1:24">
      <c r="A57">
        <v>57</v>
      </c>
      <c r="C57">
        <f t="shared" si="12"/>
        <v>680933.00005330867</v>
      </c>
      <c r="D57">
        <f t="shared" si="13"/>
        <v>4765366.2877142094</v>
      </c>
      <c r="E57">
        <v>57</v>
      </c>
      <c r="G57">
        <f t="shared" si="14"/>
        <v>680933.00005330867</v>
      </c>
      <c r="H57">
        <f t="shared" si="15"/>
        <v>5395638.5687951948</v>
      </c>
      <c r="I57">
        <v>57</v>
      </c>
      <c r="K57">
        <f t="shared" si="16"/>
        <v>550402.0909443968</v>
      </c>
      <c r="L57">
        <f t="shared" si="17"/>
        <v>3447477.7777665989</v>
      </c>
      <c r="M57">
        <v>57</v>
      </c>
      <c r="O57">
        <f t="shared" si="18"/>
        <v>550402.0909443968</v>
      </c>
      <c r="P57">
        <f t="shared" si="19"/>
        <v>4800215.4472825844</v>
      </c>
      <c r="Q57">
        <v>57</v>
      </c>
      <c r="S57">
        <f t="shared" si="20"/>
        <v>5745068.6781503353</v>
      </c>
      <c r="T57">
        <f t="shared" si="21"/>
        <v>4972311.0695187487</v>
      </c>
      <c r="U57">
        <v>57</v>
      </c>
      <c r="W57">
        <f t="shared" si="22"/>
        <v>5684801.9720057072</v>
      </c>
      <c r="X57">
        <f t="shared" si="23"/>
        <v>6452291.8792163264</v>
      </c>
    </row>
    <row r="58" spans="1:24">
      <c r="A58">
        <v>58</v>
      </c>
      <c r="C58">
        <f t="shared" si="12"/>
        <v>688625.00005436968</v>
      </c>
      <c r="D58">
        <f t="shared" si="13"/>
        <v>4813182.7560019167</v>
      </c>
      <c r="E58">
        <v>58</v>
      </c>
      <c r="G58">
        <f t="shared" si="14"/>
        <v>688625.00005436968</v>
      </c>
      <c r="H58">
        <f t="shared" si="15"/>
        <v>5460570.8216471104</v>
      </c>
      <c r="I58">
        <v>58</v>
      </c>
      <c r="K58">
        <f t="shared" si="16"/>
        <v>555763.18185422709</v>
      </c>
      <c r="L58">
        <f t="shared" si="17"/>
        <v>3485694.1479020929</v>
      </c>
      <c r="M58">
        <v>58</v>
      </c>
      <c r="O58">
        <f t="shared" si="18"/>
        <v>555763.18185422709</v>
      </c>
      <c r="P58">
        <f t="shared" si="19"/>
        <v>4840581.5191534916</v>
      </c>
      <c r="Q58">
        <v>58</v>
      </c>
      <c r="S58">
        <f t="shared" si="20"/>
        <v>5809837.2298974637</v>
      </c>
      <c r="T58">
        <f t="shared" si="21"/>
        <v>5031296.6541105509</v>
      </c>
      <c r="U58">
        <v>58</v>
      </c>
      <c r="W58">
        <f t="shared" si="22"/>
        <v>5754206.4242254989</v>
      </c>
      <c r="X58">
        <f t="shared" si="23"/>
        <v>6527772.3283212911</v>
      </c>
    </row>
    <row r="59" spans="1:24">
      <c r="A59">
        <v>59</v>
      </c>
      <c r="C59">
        <f t="shared" si="12"/>
        <v>696317.00005543046</v>
      </c>
      <c r="D59">
        <f t="shared" si="13"/>
        <v>4860922.6415661648</v>
      </c>
      <c r="E59">
        <v>59</v>
      </c>
      <c r="G59">
        <f t="shared" si="14"/>
        <v>696317.00005543046</v>
      </c>
      <c r="H59">
        <f t="shared" si="15"/>
        <v>5525579.6572224814</v>
      </c>
      <c r="I59">
        <v>59</v>
      </c>
      <c r="K59">
        <f t="shared" si="16"/>
        <v>561124.27276405739</v>
      </c>
      <c r="L59">
        <f t="shared" si="17"/>
        <v>3523841.573254195</v>
      </c>
      <c r="M59">
        <v>59</v>
      </c>
      <c r="O59">
        <f t="shared" si="18"/>
        <v>561124.27276405739</v>
      </c>
      <c r="P59">
        <f t="shared" si="19"/>
        <v>4881016.5358077912</v>
      </c>
      <c r="Q59">
        <v>59</v>
      </c>
      <c r="S59">
        <f t="shared" si="20"/>
        <v>5874605.7816445911</v>
      </c>
      <c r="T59">
        <f t="shared" si="21"/>
        <v>5090158.8055774979</v>
      </c>
      <c r="U59">
        <v>59</v>
      </c>
      <c r="W59">
        <f t="shared" si="22"/>
        <v>5823610.8764452897</v>
      </c>
      <c r="X59">
        <f t="shared" si="23"/>
        <v>6603397.2647354882</v>
      </c>
    </row>
    <row r="60" spans="1:24">
      <c r="A60">
        <v>60</v>
      </c>
      <c r="C60">
        <f t="shared" si="12"/>
        <v>704009.00005649135</v>
      </c>
      <c r="D60">
        <f t="shared" si="13"/>
        <v>4908591.7612445084</v>
      </c>
      <c r="E60">
        <v>60</v>
      </c>
      <c r="G60">
        <f t="shared" si="14"/>
        <v>704009.00005649135</v>
      </c>
      <c r="H60">
        <f t="shared" si="15"/>
        <v>5590659.2586837569</v>
      </c>
      <c r="I60">
        <v>60</v>
      </c>
      <c r="K60">
        <f t="shared" si="16"/>
        <v>566485.36367388768</v>
      </c>
      <c r="L60">
        <f t="shared" si="17"/>
        <v>3561920.4018314555</v>
      </c>
      <c r="M60">
        <v>60</v>
      </c>
      <c r="O60">
        <f t="shared" si="18"/>
        <v>566485.36367388768</v>
      </c>
      <c r="P60">
        <f t="shared" si="19"/>
        <v>4921520.1492369324</v>
      </c>
      <c r="Q60">
        <v>60</v>
      </c>
      <c r="S60">
        <f t="shared" si="20"/>
        <v>5939374.3333917186</v>
      </c>
      <c r="T60">
        <f t="shared" si="21"/>
        <v>5148900.2907814793</v>
      </c>
      <c r="U60">
        <v>60</v>
      </c>
      <c r="W60">
        <f t="shared" si="22"/>
        <v>5893015.3286650805</v>
      </c>
      <c r="X60">
        <f t="shared" si="23"/>
        <v>6679163.2586499928</v>
      </c>
    </row>
    <row r="61" spans="1:24">
      <c r="A61">
        <v>61</v>
      </c>
      <c r="C61">
        <f t="shared" si="12"/>
        <v>711701.00005755224</v>
      </c>
      <c r="D61">
        <f t="shared" si="13"/>
        <v>4956195.3982406864</v>
      </c>
      <c r="E61">
        <v>61</v>
      </c>
      <c r="G61">
        <f t="shared" si="14"/>
        <v>711701.00005755224</v>
      </c>
      <c r="H61">
        <f t="shared" si="15"/>
        <v>5655804.3428272</v>
      </c>
      <c r="I61">
        <v>61</v>
      </c>
      <c r="K61">
        <f t="shared" si="16"/>
        <v>571846.45458371798</v>
      </c>
      <c r="L61">
        <f t="shared" si="17"/>
        <v>3599930.9999614465</v>
      </c>
      <c r="M61">
        <v>61</v>
      </c>
      <c r="O61">
        <f t="shared" si="18"/>
        <v>571846.45458371798</v>
      </c>
      <c r="P61">
        <f t="shared" si="19"/>
        <v>4962091.9931133427</v>
      </c>
      <c r="Q61">
        <v>61</v>
      </c>
      <c r="S61">
        <f t="shared" si="20"/>
        <v>6004142.8851388469</v>
      </c>
      <c r="T61">
        <f t="shared" si="21"/>
        <v>5207523.8485310571</v>
      </c>
      <c r="U61">
        <v>61</v>
      </c>
      <c r="W61">
        <f t="shared" si="22"/>
        <v>5962419.7808848722</v>
      </c>
      <c r="X61">
        <f t="shared" si="23"/>
        <v>6755066.9138199575</v>
      </c>
    </row>
    <row r="62" spans="1:24">
      <c r="A62">
        <v>62</v>
      </c>
      <c r="C62">
        <f t="shared" si="12"/>
        <v>719393.00005861302</v>
      </c>
      <c r="D62">
        <f t="shared" si="13"/>
        <v>5003738.3568146583</v>
      </c>
      <c r="E62">
        <v>62</v>
      </c>
      <c r="G62">
        <f t="shared" si="14"/>
        <v>719393.00005861302</v>
      </c>
      <c r="H62">
        <f t="shared" si="15"/>
        <v>5721010.1053928472</v>
      </c>
      <c r="I62">
        <v>62</v>
      </c>
      <c r="K62">
        <f t="shared" si="16"/>
        <v>577207.54549354827</v>
      </c>
      <c r="L62">
        <f t="shared" si="17"/>
        <v>3637873.7517608362</v>
      </c>
      <c r="M62">
        <v>62</v>
      </c>
      <c r="O62">
        <f t="shared" si="18"/>
        <v>577207.54549354827</v>
      </c>
      <c r="P62">
        <f t="shared" si="19"/>
        <v>5002731.6833203565</v>
      </c>
      <c r="Q62">
        <v>62</v>
      </c>
      <c r="S62">
        <f t="shared" si="20"/>
        <v>6068911.4368859734</v>
      </c>
      <c r="T62">
        <f t="shared" si="21"/>
        <v>5266032.1865644502</v>
      </c>
      <c r="U62">
        <v>62</v>
      </c>
      <c r="W62">
        <f t="shared" si="22"/>
        <v>6031824.2331046639</v>
      </c>
      <c r="X62">
        <f t="shared" si="23"/>
        <v>6831104.8721511867</v>
      </c>
    </row>
    <row r="63" spans="1:24">
      <c r="A63">
        <v>63</v>
      </c>
      <c r="C63">
        <f t="shared" si="12"/>
        <v>727085.00005967403</v>
      </c>
      <c r="D63">
        <f t="shared" si="13"/>
        <v>5051225.0111539215</v>
      </c>
      <c r="E63">
        <v>63</v>
      </c>
      <c r="G63">
        <f t="shared" si="14"/>
        <v>727085.00005967403</v>
      </c>
      <c r="H63">
        <f t="shared" si="15"/>
        <v>5786272.172193205</v>
      </c>
      <c r="I63">
        <v>63</v>
      </c>
      <c r="K63">
        <f t="shared" si="16"/>
        <v>582568.63640337856</v>
      </c>
      <c r="L63">
        <f t="shared" si="17"/>
        <v>3675749.0585866999</v>
      </c>
      <c r="M63">
        <v>63</v>
      </c>
      <c r="O63">
        <f t="shared" si="18"/>
        <v>582568.63640337856</v>
      </c>
      <c r="P63">
        <f t="shared" si="19"/>
        <v>5043438.8185008951</v>
      </c>
      <c r="Q63">
        <v>63</v>
      </c>
      <c r="S63">
        <f t="shared" si="20"/>
        <v>6133679.9886331018</v>
      </c>
      <c r="T63">
        <f t="shared" si="21"/>
        <v>5324427.9788281471</v>
      </c>
      <c r="U63">
        <v>63</v>
      </c>
      <c r="W63">
        <f t="shared" si="22"/>
        <v>6101228.6853244547</v>
      </c>
      <c r="X63">
        <f t="shared" si="23"/>
        <v>6907273.817828076</v>
      </c>
    </row>
    <row r="64" spans="1:24">
      <c r="A64">
        <v>64</v>
      </c>
      <c r="C64">
        <f t="shared" si="12"/>
        <v>734777.0000607348</v>
      </c>
      <c r="D64">
        <f t="shared" si="13"/>
        <v>5098659.3489973396</v>
      </c>
      <c r="E64">
        <v>64</v>
      </c>
      <c r="G64">
        <f t="shared" si="14"/>
        <v>734777.0000607348</v>
      </c>
      <c r="H64">
        <f t="shared" si="15"/>
        <v>5851586.555489406</v>
      </c>
      <c r="I64">
        <v>64</v>
      </c>
      <c r="K64">
        <f t="shared" si="16"/>
        <v>587929.72731320886</v>
      </c>
      <c r="L64">
        <f t="shared" si="17"/>
        <v>3713557.3384707971</v>
      </c>
      <c r="M64">
        <v>64</v>
      </c>
      <c r="O64">
        <f t="shared" si="18"/>
        <v>587929.72731320886</v>
      </c>
      <c r="P64">
        <f t="shared" si="19"/>
        <v>5084212.9806231996</v>
      </c>
      <c r="Q64">
        <v>64</v>
      </c>
      <c r="S64">
        <f t="shared" si="20"/>
        <v>6198448.5403802292</v>
      </c>
      <c r="T64">
        <f t="shared" si="21"/>
        <v>5382713.8630399527</v>
      </c>
      <c r="U64">
        <v>64</v>
      </c>
      <c r="W64">
        <f t="shared" si="22"/>
        <v>6170633.1375442464</v>
      </c>
      <c r="X64">
        <f t="shared" si="23"/>
        <v>6983570.4809998795</v>
      </c>
    </row>
    <row r="65" spans="1:24">
      <c r="A65">
        <v>65</v>
      </c>
      <c r="C65">
        <f t="shared" ref="C65:C70" si="24">250180.9999939+(A65-1)*7692.00000106087</f>
        <v>742469.0000617957</v>
      </c>
      <c r="D65">
        <f t="shared" ref="D65:D70" si="25">89971.6867579031+7.3289600314658*C65-648725.615101392*(0.0625+(C65-471715.308964356)^2/252318197983.38)^0.5</f>
        <v>5146045.0105498144</v>
      </c>
      <c r="E65">
        <v>65</v>
      </c>
      <c r="G65">
        <f t="shared" ref="G65:G70" si="26">250180.9999939+(E65-1)*7692.00000106087</f>
        <v>742469.0000617957</v>
      </c>
      <c r="H65">
        <f t="shared" ref="H65:H70" si="27">89971.6867579031+7.3289600314658*G65+648725.615101392*(0.0625+(G65-471715.308964356)^2/252318197983.38)^0.5</f>
        <v>5916949.6150765521</v>
      </c>
      <c r="I65">
        <v>65</v>
      </c>
      <c r="K65">
        <f t="shared" ref="K65:K100" si="28">250180.9999939+(I65-1)*5361.0909098303</f>
        <v>593290.81822303915</v>
      </c>
      <c r="L65">
        <f t="shared" ref="L65:L96" si="29">89971.6867579031+7.3289600314658*K65-648725.615101392*(1.0625+(K65-471715.308964356)^2/252318197983.38)^0.5</f>
        <v>3751299.0255385628</v>
      </c>
      <c r="M65">
        <v>65</v>
      </c>
      <c r="O65">
        <f t="shared" ref="O65:O100" si="30">250180.9999939+(M65-1)*5361.0909098303</f>
        <v>593290.81822303915</v>
      </c>
      <c r="P65">
        <f t="shared" ref="P65:P96" si="31">89971.6867579031+7.3289600314658*O65+648725.615101392*(1.0625+(O65-471715.308964356)^2/252318197983.38)^0.5</f>
        <v>5125053.7355618356</v>
      </c>
      <c r="Q65">
        <v>65</v>
      </c>
      <c r="S65">
        <f t="shared" ref="S65:S70" si="32">2118029.78031119+(Q65-1)*64768.5517471276</f>
        <v>6263217.0921273567</v>
      </c>
      <c r="T65">
        <f t="shared" ref="T65:T70" si="33">0+1*S65-648725.615101392*(1.0625+(S65-3547154.33238821)^2/13552932672737.8)^0.5</f>
        <v>5440892.4385244679</v>
      </c>
      <c r="U65">
        <v>65</v>
      </c>
      <c r="W65">
        <f t="shared" ref="W65:W70" si="34">1798152.6476974+(U65-1)*69404.4522197912</f>
        <v>6240037.5897640372</v>
      </c>
      <c r="X65">
        <f t="shared" ref="X65:X70" si="35">0+1*W65+648725.615101392*(1.0625+(W65-3547154.33238821)^2/13552932672737.8)^0.5</f>
        <v>7059991.6410439732</v>
      </c>
    </row>
    <row r="66" spans="1:24">
      <c r="A66">
        <v>66</v>
      </c>
      <c r="C66">
        <f t="shared" si="24"/>
        <v>750161.00006285659</v>
      </c>
      <c r="D66">
        <f t="shared" si="25"/>
        <v>5193385.3231864227</v>
      </c>
      <c r="E66">
        <v>66</v>
      </c>
      <c r="G66">
        <f t="shared" si="26"/>
        <v>750161.00006285659</v>
      </c>
      <c r="H66">
        <f t="shared" si="27"/>
        <v>5982358.023579563</v>
      </c>
      <c r="I66">
        <v>66</v>
      </c>
      <c r="K66">
        <f t="shared" si="28"/>
        <v>598651.90913286945</v>
      </c>
      <c r="L66">
        <f t="shared" si="29"/>
        <v>3788974.5694145695</v>
      </c>
      <c r="M66">
        <v>66</v>
      </c>
      <c r="O66">
        <f t="shared" si="30"/>
        <v>598651.90913286945</v>
      </c>
      <c r="P66">
        <f t="shared" si="31"/>
        <v>5165960.6336922301</v>
      </c>
      <c r="Q66">
        <v>66</v>
      </c>
      <c r="S66">
        <f t="shared" si="32"/>
        <v>6327985.643874485</v>
      </c>
      <c r="T66">
        <f t="shared" si="33"/>
        <v>5498966.2643082663</v>
      </c>
      <c r="U66">
        <v>66</v>
      </c>
      <c r="W66">
        <f t="shared" si="34"/>
        <v>6309442.0419838279</v>
      </c>
      <c r="X66">
        <f t="shared" si="35"/>
        <v>7136534.1294262223</v>
      </c>
    </row>
    <row r="67" spans="1:24">
      <c r="A67">
        <v>67</v>
      </c>
      <c r="C67">
        <f t="shared" si="24"/>
        <v>757853.00006391737</v>
      </c>
      <c r="D67">
        <f t="shared" si="25"/>
        <v>5240683.3324021949</v>
      </c>
      <c r="E67">
        <v>67</v>
      </c>
      <c r="G67">
        <f t="shared" si="26"/>
        <v>757853.00006391737</v>
      </c>
      <c r="H67">
        <f t="shared" si="27"/>
        <v>6047808.73550341</v>
      </c>
      <c r="I67">
        <v>67</v>
      </c>
      <c r="K67">
        <f t="shared" si="28"/>
        <v>604013.00004269974</v>
      </c>
      <c r="L67">
        <f t="shared" si="29"/>
        <v>3826584.4346162258</v>
      </c>
      <c r="M67">
        <v>67</v>
      </c>
      <c r="O67">
        <f t="shared" si="30"/>
        <v>604013.00004269974</v>
      </c>
      <c r="P67">
        <f t="shared" si="31"/>
        <v>5206933.210496976</v>
      </c>
      <c r="Q67">
        <v>67</v>
      </c>
      <c r="S67">
        <f t="shared" si="32"/>
        <v>6392754.1956216116</v>
      </c>
      <c r="T67">
        <f t="shared" si="33"/>
        <v>5556937.8574616164</v>
      </c>
      <c r="U67">
        <v>67</v>
      </c>
      <c r="W67">
        <f t="shared" si="34"/>
        <v>6378846.4942036197</v>
      </c>
      <c r="X67">
        <f t="shared" si="35"/>
        <v>7213194.8321794383</v>
      </c>
    </row>
    <row r="68" spans="1:24">
      <c r="A68">
        <v>68</v>
      </c>
      <c r="C68">
        <f t="shared" si="24"/>
        <v>765545.00006497838</v>
      </c>
      <c r="D68">
        <f t="shared" si="25"/>
        <v>5287941.8294209419</v>
      </c>
      <c r="E68">
        <v>68</v>
      </c>
      <c r="G68">
        <f t="shared" si="26"/>
        <v>765545.00006497838</v>
      </c>
      <c r="H68">
        <f t="shared" si="27"/>
        <v>6113298.9596242858</v>
      </c>
      <c r="I68">
        <v>68</v>
      </c>
      <c r="K68">
        <f t="shared" si="28"/>
        <v>609374.09095253004</v>
      </c>
      <c r="L68">
        <f t="shared" si="29"/>
        <v>3864129.0999374585</v>
      </c>
      <c r="M68">
        <v>68</v>
      </c>
      <c r="O68">
        <f t="shared" si="30"/>
        <v>609374.09095253004</v>
      </c>
      <c r="P68">
        <f t="shared" si="31"/>
        <v>5247970.987182145</v>
      </c>
      <c r="Q68">
        <v>68</v>
      </c>
      <c r="S68">
        <f t="shared" si="32"/>
        <v>6457522.7473687399</v>
      </c>
      <c r="T68">
        <f t="shared" si="33"/>
        <v>5614809.6916732732</v>
      </c>
      <c r="U68">
        <v>68</v>
      </c>
      <c r="W68">
        <f t="shared" si="34"/>
        <v>6448250.9464234104</v>
      </c>
      <c r="X68">
        <f t="shared" si="35"/>
        <v>7289970.6920216484</v>
      </c>
    </row>
    <row r="69" spans="1:24">
      <c r="A69">
        <v>69</v>
      </c>
      <c r="C69">
        <f t="shared" si="24"/>
        <v>773237.00006603915</v>
      </c>
      <c r="D69">
        <f t="shared" si="25"/>
        <v>5335163.3758351896</v>
      </c>
      <c r="E69">
        <v>69</v>
      </c>
      <c r="G69">
        <f t="shared" si="26"/>
        <v>773237.00006603915</v>
      </c>
      <c r="H69">
        <f t="shared" si="27"/>
        <v>6178826.1343496554</v>
      </c>
      <c r="I69">
        <v>69</v>
      </c>
      <c r="K69">
        <f t="shared" si="28"/>
        <v>614735.18186236033</v>
      </c>
      <c r="L69">
        <f t="shared" si="29"/>
        <v>3901609.0578241143</v>
      </c>
      <c r="M69">
        <v>69</v>
      </c>
      <c r="O69">
        <f t="shared" si="30"/>
        <v>614735.18186236033</v>
      </c>
      <c r="P69">
        <f t="shared" si="31"/>
        <v>5289073.4713018909</v>
      </c>
      <c r="Q69">
        <v>69</v>
      </c>
      <c r="S69">
        <f t="shared" si="32"/>
        <v>6522291.2991158664</v>
      </c>
      <c r="T69">
        <f t="shared" si="33"/>
        <v>5672584.1960447114</v>
      </c>
      <c r="U69">
        <v>69</v>
      </c>
      <c r="W69">
        <f t="shared" si="34"/>
        <v>6517655.3986432021</v>
      </c>
      <c r="X69">
        <f t="shared" si="35"/>
        <v>7366858.7101361994</v>
      </c>
    </row>
    <row r="70" spans="1:24">
      <c r="A70">
        <v>70</v>
      </c>
      <c r="C70">
        <f t="shared" si="24"/>
        <v>780929.00006710016</v>
      </c>
      <c r="D70">
        <f t="shared" si="25"/>
        <v>5382350.3256102474</v>
      </c>
      <c r="E70">
        <v>70</v>
      </c>
      <c r="G70">
        <f t="shared" si="26"/>
        <v>780929.00006710016</v>
      </c>
      <c r="H70">
        <f t="shared" si="27"/>
        <v>6244387.9057142204</v>
      </c>
      <c r="I70">
        <v>70</v>
      </c>
      <c r="K70">
        <f t="shared" si="28"/>
        <v>620096.27277219063</v>
      </c>
      <c r="L70">
        <f t="shared" si="29"/>
        <v>3939024.8137427871</v>
      </c>
      <c r="M70">
        <v>70</v>
      </c>
      <c r="O70">
        <f t="shared" si="30"/>
        <v>620096.27277219063</v>
      </c>
      <c r="P70">
        <f t="shared" si="31"/>
        <v>5330240.1573896194</v>
      </c>
      <c r="Q70">
        <v>70</v>
      </c>
      <c r="S70">
        <f t="shared" si="32"/>
        <v>6587059.8508629948</v>
      </c>
      <c r="T70">
        <f t="shared" si="33"/>
        <v>5730263.7540901741</v>
      </c>
      <c r="U70">
        <v>70</v>
      </c>
      <c r="W70">
        <f t="shared" si="34"/>
        <v>6587059.8508629929</v>
      </c>
      <c r="X70">
        <f t="shared" si="35"/>
        <v>7443855.9476358127</v>
      </c>
    </row>
    <row r="71" spans="1:24">
      <c r="I71">
        <v>71</v>
      </c>
      <c r="K71">
        <f t="shared" si="28"/>
        <v>625457.36368202104</v>
      </c>
      <c r="L71">
        <f t="shared" si="29"/>
        <v>3976376.8855447583</v>
      </c>
      <c r="M71">
        <v>71</v>
      </c>
      <c r="O71">
        <f t="shared" si="30"/>
        <v>625457.36368202104</v>
      </c>
      <c r="P71">
        <f t="shared" si="31"/>
        <v>5371470.5275940523</v>
      </c>
    </row>
    <row r="72" spans="1:24">
      <c r="I72">
        <v>72</v>
      </c>
      <c r="K72">
        <f t="shared" si="28"/>
        <v>630818.45459185133</v>
      </c>
      <c r="L72">
        <f t="shared" si="29"/>
        <v>4013665.8028266737</v>
      </c>
      <c r="M72">
        <v>72</v>
      </c>
      <c r="O72">
        <f t="shared" si="30"/>
        <v>630818.45459185133</v>
      </c>
      <c r="P72">
        <f t="shared" si="31"/>
        <v>5412764.0523185385</v>
      </c>
    </row>
    <row r="73" spans="1:24">
      <c r="I73">
        <v>73</v>
      </c>
      <c r="K73">
        <f t="shared" si="28"/>
        <v>636179.54550168163</v>
      </c>
      <c r="L73">
        <f t="shared" si="29"/>
        <v>4050892.1062895795</v>
      </c>
      <c r="M73">
        <v>73</v>
      </c>
      <c r="O73">
        <f t="shared" si="30"/>
        <v>636179.54550168163</v>
      </c>
      <c r="P73">
        <f t="shared" si="31"/>
        <v>5454120.1908620344</v>
      </c>
    </row>
    <row r="74" spans="1:24">
      <c r="I74">
        <v>74</v>
      </c>
      <c r="K74">
        <f t="shared" si="28"/>
        <v>641540.63641151192</v>
      </c>
      <c r="L74">
        <f t="shared" si="29"/>
        <v>4088056.3470978299</v>
      </c>
      <c r="M74">
        <v>74</v>
      </c>
      <c r="O74">
        <f t="shared" si="30"/>
        <v>641540.63641151192</v>
      </c>
      <c r="P74">
        <f t="shared" si="31"/>
        <v>5495538.3920601839</v>
      </c>
    </row>
    <row r="75" spans="1:24">
      <c r="I75">
        <v>75</v>
      </c>
      <c r="K75">
        <f t="shared" si="28"/>
        <v>646901.72732134222</v>
      </c>
      <c r="L75">
        <f t="shared" si="29"/>
        <v>4125159.0862393901</v>
      </c>
      <c r="M75">
        <v>75</v>
      </c>
      <c r="O75">
        <f t="shared" si="30"/>
        <v>646901.72732134222</v>
      </c>
      <c r="P75">
        <f t="shared" si="31"/>
        <v>5537018.0949250255</v>
      </c>
    </row>
    <row r="76" spans="1:24">
      <c r="I76">
        <v>76</v>
      </c>
      <c r="K76">
        <f t="shared" si="28"/>
        <v>652262.81823117251</v>
      </c>
      <c r="L76">
        <f t="shared" si="29"/>
        <v>4162200.8938889331</v>
      </c>
      <c r="M76">
        <v>76</v>
      </c>
      <c r="O76">
        <f t="shared" si="30"/>
        <v>652262.81823117251</v>
      </c>
      <c r="P76">
        <f t="shared" si="31"/>
        <v>5578558.7292818837</v>
      </c>
    </row>
    <row r="77" spans="1:24">
      <c r="I77">
        <v>77</v>
      </c>
      <c r="K77">
        <f t="shared" si="28"/>
        <v>657623.9091410028</v>
      </c>
      <c r="L77">
        <f t="shared" si="29"/>
        <v>4199182.3487751242</v>
      </c>
      <c r="M77">
        <v>77</v>
      </c>
      <c r="O77">
        <f t="shared" si="30"/>
        <v>657623.9091410028</v>
      </c>
      <c r="P77">
        <f t="shared" si="31"/>
        <v>5620159.7164020948</v>
      </c>
    </row>
    <row r="78" spans="1:24">
      <c r="I78">
        <v>78</v>
      </c>
      <c r="K78">
        <f t="shared" si="28"/>
        <v>662985.0000508331</v>
      </c>
      <c r="L78">
        <f t="shared" si="29"/>
        <v>4236104.0375533774</v>
      </c>
      <c r="M78">
        <v>78</v>
      </c>
      <c r="O78">
        <f t="shared" si="30"/>
        <v>662985.0000508331</v>
      </c>
      <c r="P78">
        <f t="shared" si="31"/>
        <v>5661820.4696302433</v>
      </c>
    </row>
    <row r="79" spans="1:24">
      <c r="I79">
        <v>79</v>
      </c>
      <c r="K79">
        <f t="shared" si="28"/>
        <v>668346.09096066339</v>
      </c>
      <c r="L79">
        <f t="shared" si="29"/>
        <v>4272966.554185315</v>
      </c>
      <c r="M79">
        <v>79</v>
      </c>
      <c r="O79">
        <f t="shared" si="30"/>
        <v>668346.09096066339</v>
      </c>
      <c r="P79">
        <f t="shared" si="31"/>
        <v>5703540.3950047074</v>
      </c>
    </row>
    <row r="80" spans="1:24">
      <c r="I80">
        <v>80</v>
      </c>
      <c r="K80">
        <f t="shared" si="28"/>
        <v>673707.18187049369</v>
      </c>
      <c r="L80">
        <f t="shared" si="29"/>
        <v>4309770.4993260913</v>
      </c>
      <c r="M80">
        <v>80</v>
      </c>
      <c r="O80">
        <f t="shared" si="30"/>
        <v>673707.18187049369</v>
      </c>
      <c r="P80">
        <f t="shared" si="31"/>
        <v>5745318.8918703329</v>
      </c>
    </row>
    <row r="81" spans="9:16">
      <c r="I81">
        <v>81</v>
      </c>
      <c r="K81">
        <f t="shared" si="28"/>
        <v>679068.2727803241</v>
      </c>
      <c r="L81">
        <f t="shared" si="29"/>
        <v>4346516.4797206633</v>
      </c>
      <c r="M81">
        <v>81</v>
      </c>
      <c r="O81">
        <f t="shared" si="30"/>
        <v>679068.2727803241</v>
      </c>
      <c r="P81">
        <f t="shared" si="31"/>
        <v>5787155.3534821644</v>
      </c>
    </row>
    <row r="82" spans="9:16">
      <c r="I82">
        <v>82</v>
      </c>
      <c r="K82">
        <f t="shared" si="28"/>
        <v>684429.36369015439</v>
      </c>
      <c r="L82">
        <f t="shared" si="29"/>
        <v>4383205.1076100059</v>
      </c>
      <c r="M82">
        <v>82</v>
      </c>
      <c r="O82">
        <f t="shared" si="30"/>
        <v>684429.36369015439</v>
      </c>
      <c r="P82">
        <f t="shared" si="31"/>
        <v>5829049.1675992236</v>
      </c>
    </row>
    <row r="83" spans="9:16">
      <c r="I83">
        <v>83</v>
      </c>
      <c r="K83">
        <f t="shared" si="28"/>
        <v>689790.45459998469</v>
      </c>
      <c r="L83">
        <f t="shared" si="29"/>
        <v>4419837.0001482265</v>
      </c>
      <c r="M83">
        <v>83</v>
      </c>
      <c r="O83">
        <f t="shared" si="30"/>
        <v>689790.45459998469</v>
      </c>
      <c r="P83">
        <f t="shared" si="31"/>
        <v>5870999.7170674047</v>
      </c>
    </row>
    <row r="84" spans="9:16">
      <c r="I84">
        <v>84</v>
      </c>
      <c r="K84">
        <f t="shared" si="28"/>
        <v>695151.54550981498</v>
      </c>
      <c r="L84">
        <f t="shared" si="29"/>
        <v>4456412.7788314093</v>
      </c>
      <c r="M84">
        <v>84</v>
      </c>
      <c r="O84">
        <f t="shared" si="30"/>
        <v>695151.54550981498</v>
      </c>
      <c r="P84">
        <f t="shared" si="31"/>
        <v>5913006.3803906236</v>
      </c>
    </row>
    <row r="85" spans="9:16">
      <c r="I85">
        <v>85</v>
      </c>
      <c r="K85">
        <f t="shared" si="28"/>
        <v>700512.63641964528</v>
      </c>
      <c r="L85">
        <f t="shared" si="29"/>
        <v>4492933.0689389836</v>
      </c>
      <c r="M85">
        <v>85</v>
      </c>
      <c r="O85">
        <f t="shared" si="30"/>
        <v>700512.63641964528</v>
      </c>
      <c r="P85">
        <f t="shared" si="31"/>
        <v>5955068.532289451</v>
      </c>
    </row>
    <row r="86" spans="9:16">
      <c r="I86">
        <v>86</v>
      </c>
      <c r="K86">
        <f t="shared" si="28"/>
        <v>705873.72732947557</v>
      </c>
      <c r="L86">
        <f t="shared" si="29"/>
        <v>4529398.4989883229</v>
      </c>
      <c r="M86">
        <v>86</v>
      </c>
      <c r="O86">
        <f t="shared" si="30"/>
        <v>705873.72732947557</v>
      </c>
      <c r="P86">
        <f t="shared" si="31"/>
        <v>5997185.5442465134</v>
      </c>
    </row>
    <row r="87" spans="9:16">
      <c r="I87">
        <v>87</v>
      </c>
      <c r="K87">
        <f t="shared" si="28"/>
        <v>711234.81823930587</v>
      </c>
      <c r="L87">
        <f t="shared" si="29"/>
        <v>4565809.7002031915</v>
      </c>
      <c r="M87">
        <v>87</v>
      </c>
      <c r="O87">
        <f t="shared" si="30"/>
        <v>711234.81823930587</v>
      </c>
      <c r="P87">
        <f t="shared" si="31"/>
        <v>6039356.7850380465</v>
      </c>
    </row>
    <row r="88" spans="9:16">
      <c r="I88">
        <v>88</v>
      </c>
      <c r="K88">
        <f t="shared" si="28"/>
        <v>716595.90914913616</v>
      </c>
      <c r="L88">
        <f t="shared" si="29"/>
        <v>4602167.3059966145</v>
      </c>
      <c r="M88">
        <v>88</v>
      </c>
      <c r="O88">
        <f t="shared" si="30"/>
        <v>716595.90914913616</v>
      </c>
      <c r="P88">
        <f t="shared" si="31"/>
        <v>6081581.6212510252</v>
      </c>
    </row>
    <row r="89" spans="9:16">
      <c r="I89">
        <v>89</v>
      </c>
      <c r="K89">
        <f t="shared" si="28"/>
        <v>721957.00005896646</v>
      </c>
      <c r="L89">
        <f t="shared" si="29"/>
        <v>4638471.9514686447</v>
      </c>
      <c r="M89">
        <v>89</v>
      </c>
      <c r="O89">
        <f t="shared" si="30"/>
        <v>721957.00005896646</v>
      </c>
      <c r="P89">
        <f t="shared" si="31"/>
        <v>6123859.4177853968</v>
      </c>
    </row>
    <row r="90" spans="9:16">
      <c r="I90">
        <v>90</v>
      </c>
      <c r="K90">
        <f t="shared" si="28"/>
        <v>727318.09096879675</v>
      </c>
      <c r="L90">
        <f t="shared" si="29"/>
        <v>4674724.2729194472</v>
      </c>
      <c r="M90">
        <v>90</v>
      </c>
      <c r="O90">
        <f t="shared" si="30"/>
        <v>727318.09096879675</v>
      </c>
      <c r="P90">
        <f t="shared" si="31"/>
        <v>6166189.538340996</v>
      </c>
    </row>
    <row r="91" spans="9:16">
      <c r="I91">
        <v>91</v>
      </c>
      <c r="K91">
        <f t="shared" si="28"/>
        <v>732679.18187862705</v>
      </c>
      <c r="L91">
        <f t="shared" si="29"/>
        <v>4710924.9073780552</v>
      </c>
      <c r="M91">
        <v>91</v>
      </c>
      <c r="O91">
        <f t="shared" si="30"/>
        <v>732679.18187862705</v>
      </c>
      <c r="P91">
        <f t="shared" si="31"/>
        <v>6208571.3458887897</v>
      </c>
    </row>
    <row r="92" spans="9:16">
      <c r="I92">
        <v>92</v>
      </c>
      <c r="K92">
        <f t="shared" si="28"/>
        <v>738040.27278845734</v>
      </c>
      <c r="L92">
        <f t="shared" si="29"/>
        <v>4747074.4921470778</v>
      </c>
      <c r="M92">
        <v>92</v>
      </c>
      <c r="O92">
        <f t="shared" si="30"/>
        <v>738040.27278845734</v>
      </c>
      <c r="P92">
        <f t="shared" si="31"/>
        <v>6251004.2031261688</v>
      </c>
    </row>
    <row r="93" spans="9:16">
      <c r="I93">
        <v>93</v>
      </c>
      <c r="K93">
        <f t="shared" si="28"/>
        <v>743401.36369828763</v>
      </c>
      <c r="L93">
        <f t="shared" si="29"/>
        <v>4783173.6643635901</v>
      </c>
      <c r="M93">
        <v>93</v>
      </c>
      <c r="O93">
        <f t="shared" si="30"/>
        <v>743401.36369828763</v>
      </c>
      <c r="P93">
        <f t="shared" si="31"/>
        <v>6293487.4729160583</v>
      </c>
    </row>
    <row r="94" spans="9:16">
      <c r="I94">
        <v>94</v>
      </c>
      <c r="K94">
        <f t="shared" si="28"/>
        <v>748762.45460811793</v>
      </c>
      <c r="L94">
        <f t="shared" si="29"/>
        <v>4819223.0605763616</v>
      </c>
      <c r="M94">
        <v>94</v>
      </c>
      <c r="O94">
        <f t="shared" si="30"/>
        <v>748762.45460811793</v>
      </c>
      <c r="P94">
        <f t="shared" si="31"/>
        <v>6336020.5187096884</v>
      </c>
    </row>
    <row r="95" spans="9:16">
      <c r="I95">
        <v>95</v>
      </c>
      <c r="K95">
        <f t="shared" si="28"/>
        <v>754123.54551794822</v>
      </c>
      <c r="L95">
        <f t="shared" si="29"/>
        <v>4855223.316339545</v>
      </c>
      <c r="M95">
        <v>95</v>
      </c>
      <c r="O95">
        <f t="shared" si="30"/>
        <v>754123.54551794822</v>
      </c>
      <c r="P95">
        <f t="shared" si="31"/>
        <v>6378602.7049529068</v>
      </c>
    </row>
    <row r="96" spans="9:16">
      <c r="I96">
        <v>96</v>
      </c>
      <c r="K96">
        <f t="shared" si="28"/>
        <v>759484.63642777852</v>
      </c>
      <c r="L96">
        <f t="shared" si="29"/>
        <v>4891175.0658228602</v>
      </c>
      <c r="M96">
        <v>96</v>
      </c>
      <c r="O96">
        <f t="shared" si="30"/>
        <v>759484.63642777852</v>
      </c>
      <c r="P96">
        <f t="shared" si="31"/>
        <v>6421233.3974759933</v>
      </c>
    </row>
    <row r="97" spans="9:16">
      <c r="I97">
        <v>97</v>
      </c>
      <c r="K97">
        <f t="shared" si="28"/>
        <v>764845.72733760881</v>
      </c>
      <c r="L97">
        <f t="shared" ref="L97:L100" si="36">89971.6867579031+7.3289600314658*K97-648725.615101392*(1.0625+(K97-471715.308964356)^2/252318197983.38)^0.5</f>
        <v>4927078.9414383052</v>
      </c>
      <c r="M97">
        <v>97</v>
      </c>
      <c r="O97">
        <f t="shared" si="30"/>
        <v>764845.72733760881</v>
      </c>
      <c r="P97">
        <f t="shared" ref="P97:P100" si="37">89971.6867579031+7.3289600314658*O97+648725.615101392*(1.0625+(O97-471715.308964356)^2/252318197983.38)^0.5</f>
        <v>6463911.96386695</v>
      </c>
    </row>
    <row r="98" spans="9:16">
      <c r="I98">
        <v>98</v>
      </c>
      <c r="K98">
        <f t="shared" si="28"/>
        <v>770206.81824743911</v>
      </c>
      <c r="L98">
        <f t="shared" si="36"/>
        <v>4962935.5734833265</v>
      </c>
      <c r="M98">
        <v>98</v>
      </c>
      <c r="O98">
        <f t="shared" si="30"/>
        <v>770206.81824743911</v>
      </c>
      <c r="P98">
        <f t="shared" si="37"/>
        <v>6506637.7738283304</v>
      </c>
    </row>
    <row r="99" spans="9:16">
      <c r="I99">
        <v>99</v>
      </c>
      <c r="K99">
        <f t="shared" si="28"/>
        <v>775567.9091572694</v>
      </c>
      <c r="L99">
        <f t="shared" si="36"/>
        <v>4998745.5898003811</v>
      </c>
      <c r="M99">
        <v>99</v>
      </c>
      <c r="O99">
        <f t="shared" si="30"/>
        <v>775567.9091572694</v>
      </c>
      <c r="P99">
        <f t="shared" si="37"/>
        <v>6549410.1995176775</v>
      </c>
    </row>
    <row r="100" spans="9:16">
      <c r="I100">
        <v>100</v>
      </c>
      <c r="K100">
        <f t="shared" si="28"/>
        <v>780929.0000670997</v>
      </c>
      <c r="L100">
        <f t="shared" si="36"/>
        <v>5034509.6154527524</v>
      </c>
      <c r="M100">
        <v>100</v>
      </c>
      <c r="O100">
        <f t="shared" si="30"/>
        <v>780929.0000670997</v>
      </c>
      <c r="P100">
        <f t="shared" si="37"/>
        <v>6592228.6158717079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B708-020F-4239-BB47-720E76C253CC}">
  <sheetPr codeName="XLSTAT_20220917_223214_1_HID"/>
  <dimension ref="A1:X100"/>
  <sheetViews>
    <sheetView workbookViewId="0">
      <selection activeCell="U1" sqref="U1"/>
    </sheetView>
  </sheetViews>
  <sheetFormatPr baseColWidth="10" defaultColWidth="11.44140625" defaultRowHeight="14.4"/>
  <sheetData>
    <row r="1" spans="1:24">
      <c r="A1">
        <v>1</v>
      </c>
      <c r="C1">
        <f t="shared" ref="C1:C32" si="0">262473.906660515+(A1-1)*5554.1031894756</f>
        <v>262473.906660515</v>
      </c>
      <c r="D1">
        <f t="shared" ref="D1:D32" si="1">7.45104226832377+2.24301765034798E-07*C1-1.61653940236522*(0.0666666666666667+(C1-454049.662891246)^2/177420185700.09)^0.5</f>
        <v>6.6644679884570541</v>
      </c>
      <c r="E1">
        <v>1</v>
      </c>
      <c r="G1">
        <f t="shared" ref="G1:G32" si="2">262473.906660515+(E1-1)*5554.1031894756</f>
        <v>262473.906660515</v>
      </c>
      <c r="H1">
        <f t="shared" ref="H1:H32" si="3">7.45104226832377+2.24301765034798E-07*G1+1.61653940236522*(0.0666666666666667+(G1-454049.662891246)^2/177420185700.09)^0.5</f>
        <v>8.3553632692695494</v>
      </c>
      <c r="I1">
        <v>1</v>
      </c>
      <c r="K1">
        <f t="shared" ref="K1:K32" si="4">262473.906660515+(I1-1)*3871.0416169073</f>
        <v>262473.906660515</v>
      </c>
      <c r="L1">
        <f t="shared" ref="L1:L32" si="5">7.45104226832377+2.24301765034798E-07*K1-1.61653940236522*(1.06666666666667+(K1-454049.662891246)^2/177420185700.09)^0.5</f>
        <v>5.6856400597488648</v>
      </c>
      <c r="M1">
        <v>1</v>
      </c>
      <c r="O1">
        <f t="shared" ref="O1:O32" si="6">262473.906660515+(M1-1)*3871.0416169073</f>
        <v>262473.906660515</v>
      </c>
      <c r="P1">
        <f t="shared" ref="P1:P32" si="7">7.45104226832377+2.24301765034798E-07*O1+1.61653940236522*(1.06666666666667+(O1-454049.662891246)^2/177420185700.09)^0.5</f>
        <v>9.3341911979777397</v>
      </c>
      <c r="Q1">
        <v>1</v>
      </c>
      <c r="S1">
        <f t="shared" ref="S1:S32" si="8">7.5142136221+(Q1-1)*0.0230759563</f>
        <v>7.5142136220999998</v>
      </c>
      <c r="T1">
        <f t="shared" ref="T1:T32" si="9">0+1*S1-1.61653940236522*(1.06666666666667+(S1-7.55288640912374)^2/0.00892623695936221)^0.5</f>
        <v>5.7183147853623399</v>
      </c>
      <c r="U1">
        <v>1</v>
      </c>
      <c r="W1">
        <f t="shared" ref="W1:W32" si="10">6.0136631608+(U1-1)*0.0448230644</f>
        <v>6.0136631608000002</v>
      </c>
      <c r="X1">
        <f t="shared" ref="X1:X32" si="11">0+1*W1+1.61653940236522*(1.06666666666667+(W1-7.55288640912374)^2/0.00892623695936221)^0.5</f>
        <v>32.402765707831222</v>
      </c>
    </row>
    <row r="2" spans="1:24">
      <c r="A2">
        <v>2</v>
      </c>
      <c r="C2">
        <f t="shared" si="0"/>
        <v>268028.0098499906</v>
      </c>
      <c r="D2">
        <f t="shared" si="1"/>
        <v>6.6841837359135727</v>
      </c>
      <c r="E2">
        <v>2</v>
      </c>
      <c r="G2">
        <f t="shared" si="2"/>
        <v>268028.0098499906</v>
      </c>
      <c r="H2">
        <f t="shared" si="3"/>
        <v>8.3381391121102002</v>
      </c>
      <c r="I2">
        <v>2</v>
      </c>
      <c r="K2">
        <f t="shared" si="4"/>
        <v>266344.94827742229</v>
      </c>
      <c r="L2">
        <f t="shared" si="5"/>
        <v>5.692445035383801</v>
      </c>
      <c r="M2">
        <v>2</v>
      </c>
      <c r="O2">
        <f t="shared" si="6"/>
        <v>266344.94827742229</v>
      </c>
      <c r="P2">
        <f t="shared" si="7"/>
        <v>9.3291227852771925</v>
      </c>
      <c r="Q2">
        <v>2</v>
      </c>
      <c r="S2">
        <f t="shared" si="8"/>
        <v>7.5372895783999994</v>
      </c>
      <c r="T2">
        <f t="shared" si="9"/>
        <v>5.8465415673346257</v>
      </c>
      <c r="U2">
        <v>2</v>
      </c>
      <c r="W2">
        <f t="shared" si="10"/>
        <v>6.0584862252000002</v>
      </c>
      <c r="X2">
        <f t="shared" si="11"/>
        <v>31.682244831327058</v>
      </c>
    </row>
    <row r="3" spans="1:24">
      <c r="A3">
        <v>3</v>
      </c>
      <c r="C3">
        <f t="shared" si="0"/>
        <v>273582.1130394662</v>
      </c>
      <c r="D3">
        <f t="shared" si="1"/>
        <v>6.7037594620822523</v>
      </c>
      <c r="E3">
        <v>3</v>
      </c>
      <c r="G3">
        <f t="shared" si="2"/>
        <v>273582.1130394662</v>
      </c>
      <c r="H3">
        <f t="shared" si="3"/>
        <v>8.3210549762386901</v>
      </c>
      <c r="I3">
        <v>3</v>
      </c>
      <c r="K3">
        <f t="shared" si="4"/>
        <v>270215.98989432963</v>
      </c>
      <c r="L3">
        <f t="shared" si="5"/>
        <v>5.6991476815963713</v>
      </c>
      <c r="M3">
        <v>3</v>
      </c>
      <c r="O3">
        <f t="shared" si="6"/>
        <v>270215.98989432963</v>
      </c>
      <c r="P3">
        <f t="shared" si="7"/>
        <v>9.3241567019990139</v>
      </c>
      <c r="Q3">
        <v>3</v>
      </c>
      <c r="S3">
        <f t="shared" si="8"/>
        <v>7.5603655346999998</v>
      </c>
      <c r="T3">
        <f t="shared" si="9"/>
        <v>5.8859137219476212</v>
      </c>
      <c r="U3">
        <v>3</v>
      </c>
      <c r="W3">
        <f t="shared" si="10"/>
        <v>6.1033092896000003</v>
      </c>
      <c r="X3">
        <f t="shared" si="11"/>
        <v>30.961821491337879</v>
      </c>
    </row>
    <row r="4" spans="1:24">
      <c r="A4">
        <v>4</v>
      </c>
      <c r="C4">
        <f t="shared" si="0"/>
        <v>279136.2162289418</v>
      </c>
      <c r="D4">
        <f t="shared" si="1"/>
        <v>6.723185426160053</v>
      </c>
      <c r="E4">
        <v>4</v>
      </c>
      <c r="G4">
        <f t="shared" si="2"/>
        <v>279136.2162289418</v>
      </c>
      <c r="H4">
        <f t="shared" si="3"/>
        <v>8.3041206024580578</v>
      </c>
      <c r="I4">
        <v>4</v>
      </c>
      <c r="K4">
        <f t="shared" si="4"/>
        <v>274087.03151123691</v>
      </c>
      <c r="L4">
        <f t="shared" si="5"/>
        <v>5.7057470070713672</v>
      </c>
      <c r="M4">
        <v>4</v>
      </c>
      <c r="O4">
        <f t="shared" si="6"/>
        <v>274087.03151123691</v>
      </c>
      <c r="P4">
        <f t="shared" si="7"/>
        <v>9.3192939394584098</v>
      </c>
      <c r="Q4">
        <v>4</v>
      </c>
      <c r="S4">
        <f t="shared" si="8"/>
        <v>7.5834414909999994</v>
      </c>
      <c r="T4">
        <f t="shared" si="9"/>
        <v>5.8339464950882327</v>
      </c>
      <c r="U4">
        <v>4</v>
      </c>
      <c r="W4">
        <f t="shared" si="10"/>
        <v>6.1481323540000004</v>
      </c>
      <c r="X4">
        <f t="shared" si="11"/>
        <v>30.241504981641214</v>
      </c>
    </row>
    <row r="5" spans="1:24">
      <c r="A5">
        <v>5</v>
      </c>
      <c r="C5">
        <f t="shared" si="0"/>
        <v>284690.31941841741</v>
      </c>
      <c r="D5">
        <f t="shared" si="1"/>
        <v>6.7424510537667901</v>
      </c>
      <c r="E5">
        <v>5</v>
      </c>
      <c r="G5">
        <f t="shared" si="2"/>
        <v>284690.31941841741</v>
      </c>
      <c r="H5">
        <f t="shared" si="3"/>
        <v>8.2873465651484928</v>
      </c>
      <c r="I5">
        <v>5</v>
      </c>
      <c r="K5">
        <f t="shared" si="4"/>
        <v>277958.0731281442</v>
      </c>
      <c r="L5">
        <f t="shared" si="5"/>
        <v>5.7122420255440165</v>
      </c>
      <c r="M5">
        <v>5</v>
      </c>
      <c r="O5">
        <f t="shared" si="6"/>
        <v>277958.0731281442</v>
      </c>
      <c r="P5">
        <f t="shared" si="7"/>
        <v>9.3145354839201513</v>
      </c>
      <c r="Q5">
        <v>5</v>
      </c>
      <c r="S5">
        <f t="shared" si="8"/>
        <v>7.6065174472999999</v>
      </c>
      <c r="T5">
        <f t="shared" si="9"/>
        <v>5.7014031621734373</v>
      </c>
      <c r="U5">
        <v>5</v>
      </c>
      <c r="W5">
        <f t="shared" si="10"/>
        <v>6.1929554184000004</v>
      </c>
      <c r="X5">
        <f t="shared" si="11"/>
        <v>29.521305813923696</v>
      </c>
    </row>
    <row r="6" spans="1:24">
      <c r="A6">
        <v>6</v>
      </c>
      <c r="C6">
        <f t="shared" si="0"/>
        <v>290244.42260789301</v>
      </c>
      <c r="D6">
        <f t="shared" si="1"/>
        <v>6.7615448583162951</v>
      </c>
      <c r="E6">
        <v>6</v>
      </c>
      <c r="G6">
        <f t="shared" si="2"/>
        <v>290244.42260789301</v>
      </c>
      <c r="H6">
        <f t="shared" si="3"/>
        <v>8.2707443508961571</v>
      </c>
      <c r="I6">
        <v>6</v>
      </c>
      <c r="K6">
        <f t="shared" si="4"/>
        <v>281829.11474505148</v>
      </c>
      <c r="L6">
        <f t="shared" si="5"/>
        <v>5.7186317564507743</v>
      </c>
      <c r="M6">
        <v>6</v>
      </c>
      <c r="O6">
        <f t="shared" si="6"/>
        <v>281829.11474505148</v>
      </c>
      <c r="P6">
        <f t="shared" si="7"/>
        <v>9.3098823159477835</v>
      </c>
      <c r="Q6">
        <v>6</v>
      </c>
      <c r="S6">
        <f t="shared" si="8"/>
        <v>7.6295934035999995</v>
      </c>
      <c r="T6">
        <f t="shared" si="9"/>
        <v>5.5059239450333832</v>
      </c>
      <c r="U6">
        <v>6</v>
      </c>
      <c r="W6">
        <f t="shared" si="10"/>
        <v>6.2377784828000005</v>
      </c>
      <c r="X6">
        <f t="shared" si="11"/>
        <v>28.801235923755939</v>
      </c>
    </row>
    <row r="7" spans="1:24">
      <c r="A7">
        <v>7</v>
      </c>
      <c r="C7">
        <f t="shared" si="0"/>
        <v>295798.52579736861</v>
      </c>
      <c r="D7">
        <f t="shared" si="1"/>
        <v>6.7804543554462908</v>
      </c>
      <c r="E7">
        <v>7</v>
      </c>
      <c r="G7">
        <f t="shared" si="2"/>
        <v>295798.52579736861</v>
      </c>
      <c r="H7">
        <f t="shared" si="3"/>
        <v>8.254326444063329</v>
      </c>
      <c r="I7">
        <v>7</v>
      </c>
      <c r="K7">
        <f t="shared" si="4"/>
        <v>285700.15636195883</v>
      </c>
      <c r="L7">
        <f t="shared" si="5"/>
        <v>5.7249152255929152</v>
      </c>
      <c r="M7">
        <v>7</v>
      </c>
      <c r="O7">
        <f t="shared" si="6"/>
        <v>285700.15636195883</v>
      </c>
      <c r="P7">
        <f t="shared" si="7"/>
        <v>9.3053354097400351</v>
      </c>
      <c r="Q7">
        <v>7</v>
      </c>
      <c r="S7">
        <f t="shared" si="8"/>
        <v>7.6526693599</v>
      </c>
      <c r="T7">
        <f t="shared" si="9"/>
        <v>5.2647272897721722</v>
      </c>
      <c r="U7">
        <v>7</v>
      </c>
      <c r="W7">
        <f t="shared" si="10"/>
        <v>6.2826015472000005</v>
      </c>
      <c r="X7">
        <f t="shared" si="11"/>
        <v>28.081308919768425</v>
      </c>
    </row>
    <row r="8" spans="1:24">
      <c r="A8">
        <v>8</v>
      </c>
      <c r="C8">
        <f t="shared" si="0"/>
        <v>301352.62898684421</v>
      </c>
      <c r="D8">
        <f t="shared" si="1"/>
        <v>6.7991659702431866</v>
      </c>
      <c r="E8">
        <v>8</v>
      </c>
      <c r="G8">
        <f t="shared" si="2"/>
        <v>301352.62898684421</v>
      </c>
      <c r="H8">
        <f t="shared" si="3"/>
        <v>8.2381064195636053</v>
      </c>
      <c r="I8">
        <v>8</v>
      </c>
      <c r="K8">
        <f t="shared" si="4"/>
        <v>289571.19797886611</v>
      </c>
      <c r="L8">
        <f t="shared" si="5"/>
        <v>5.7310914658122805</v>
      </c>
      <c r="M8">
        <v>8</v>
      </c>
      <c r="O8">
        <f t="shared" si="6"/>
        <v>289571.19797886611</v>
      </c>
      <c r="P8">
        <f t="shared" si="7"/>
        <v>9.3008957324550607</v>
      </c>
      <c r="Q8">
        <v>8</v>
      </c>
      <c r="S8">
        <f t="shared" si="8"/>
        <v>7.6757453161999996</v>
      </c>
      <c r="T8">
        <f t="shared" si="9"/>
        <v>4.9912813990451328</v>
      </c>
      <c r="U8">
        <v>8</v>
      </c>
      <c r="W8">
        <f t="shared" si="10"/>
        <v>6.3274246116000006</v>
      </c>
      <c r="X8">
        <f t="shared" si="11"/>
        <v>27.361540386964737</v>
      </c>
    </row>
    <row r="9" spans="1:24">
      <c r="A9">
        <v>9</v>
      </c>
      <c r="C9">
        <f t="shared" si="0"/>
        <v>306906.73217631981</v>
      </c>
      <c r="D9">
        <f t="shared" si="1"/>
        <v>6.8176649371293099</v>
      </c>
      <c r="E9">
        <v>9</v>
      </c>
      <c r="G9">
        <f t="shared" si="2"/>
        <v>306906.73217631981</v>
      </c>
      <c r="H9">
        <f t="shared" si="3"/>
        <v>8.2220990429746497</v>
      </c>
      <c r="I9">
        <v>9</v>
      </c>
      <c r="K9">
        <f t="shared" si="4"/>
        <v>293442.2395957734</v>
      </c>
      <c r="L9">
        <f t="shared" si="5"/>
        <v>5.7371595176784629</v>
      </c>
      <c r="M9">
        <v>9</v>
      </c>
      <c r="O9">
        <f t="shared" si="6"/>
        <v>293442.2395957734</v>
      </c>
      <c r="P9">
        <f t="shared" si="7"/>
        <v>9.2965642435232674</v>
      </c>
      <c r="Q9">
        <v>9</v>
      </c>
      <c r="S9">
        <f t="shared" si="8"/>
        <v>7.6988212725</v>
      </c>
      <c r="T9">
        <f t="shared" si="9"/>
        <v>4.6951219623311253</v>
      </c>
      <c r="U9">
        <v>9</v>
      </c>
      <c r="W9">
        <f t="shared" si="10"/>
        <v>6.3722476760000006</v>
      </c>
      <c r="X9">
        <f t="shared" si="11"/>
        <v>26.641948258385668</v>
      </c>
    </row>
    <row r="10" spans="1:24">
      <c r="A10">
        <v>10</v>
      </c>
      <c r="C10">
        <f t="shared" si="0"/>
        <v>312460.83536579541</v>
      </c>
      <c r="D10">
        <f t="shared" si="1"/>
        <v>6.8359351924724683</v>
      </c>
      <c r="E10">
        <v>10</v>
      </c>
      <c r="G10">
        <f t="shared" si="2"/>
        <v>312460.83536579541</v>
      </c>
      <c r="H10">
        <f t="shared" si="3"/>
        <v>8.2063203779286624</v>
      </c>
      <c r="I10">
        <v>10</v>
      </c>
      <c r="K10">
        <f t="shared" si="4"/>
        <v>297313.28121268068</v>
      </c>
      <c r="L10">
        <f t="shared" si="5"/>
        <v>5.7431184301866853</v>
      </c>
      <c r="M10">
        <v>10</v>
      </c>
      <c r="O10">
        <f t="shared" si="6"/>
        <v>297313.28121268068</v>
      </c>
      <c r="P10">
        <f t="shared" si="7"/>
        <v>9.2923418939494375</v>
      </c>
      <c r="Q10">
        <v>10</v>
      </c>
      <c r="S10">
        <f t="shared" si="8"/>
        <v>7.7218972287999996</v>
      </c>
      <c r="T10">
        <f t="shared" si="9"/>
        <v>4.382757159786153</v>
      </c>
      <c r="U10">
        <v>10</v>
      </c>
      <c r="W10">
        <f t="shared" si="10"/>
        <v>6.4170707403999998</v>
      </c>
      <c r="X10">
        <f t="shared" si="11"/>
        <v>25.922553273760318</v>
      </c>
    </row>
    <row r="11" spans="1:24">
      <c r="A11">
        <v>11</v>
      </c>
      <c r="C11">
        <f t="shared" si="0"/>
        <v>318014.93855527102</v>
      </c>
      <c r="D11">
        <f t="shared" si="1"/>
        <v>6.8539592602491339</v>
      </c>
      <c r="E11">
        <v>11</v>
      </c>
      <c r="G11">
        <f t="shared" si="2"/>
        <v>318014.93855527102</v>
      </c>
      <c r="H11">
        <f t="shared" si="3"/>
        <v>8.1907879004491662</v>
      </c>
      <c r="I11">
        <v>11</v>
      </c>
      <c r="K11">
        <f t="shared" si="4"/>
        <v>301184.32282958803</v>
      </c>
      <c r="L11">
        <f t="shared" si="5"/>
        <v>5.7489672614655136</v>
      </c>
      <c r="M11">
        <v>11</v>
      </c>
      <c r="O11">
        <f t="shared" si="6"/>
        <v>301184.32282958803</v>
      </c>
      <c r="P11">
        <f t="shared" si="7"/>
        <v>9.2882296256049983</v>
      </c>
      <c r="Q11">
        <v>11</v>
      </c>
      <c r="S11">
        <f t="shared" si="8"/>
        <v>7.7449731851000001</v>
      </c>
      <c r="T11">
        <f t="shared" si="9"/>
        <v>4.0586081616302554</v>
      </c>
      <c r="U11">
        <v>11</v>
      </c>
      <c r="W11">
        <f t="shared" si="10"/>
        <v>6.4618938047999999</v>
      </c>
      <c r="X11">
        <f t="shared" si="11"/>
        <v>25.203379549810236</v>
      </c>
    </row>
    <row r="12" spans="1:24">
      <c r="A12">
        <v>12</v>
      </c>
      <c r="C12">
        <f t="shared" si="0"/>
        <v>323569.04174474662</v>
      </c>
      <c r="D12">
        <f t="shared" si="1"/>
        <v>6.8717181314650606</v>
      </c>
      <c r="E12">
        <v>12</v>
      </c>
      <c r="G12">
        <f t="shared" si="2"/>
        <v>323569.04174474662</v>
      </c>
      <c r="H12">
        <f t="shared" si="3"/>
        <v>8.175520619530408</v>
      </c>
      <c r="I12">
        <v>12</v>
      </c>
      <c r="K12">
        <f t="shared" si="4"/>
        <v>305055.36444649531</v>
      </c>
      <c r="L12">
        <f t="shared" si="5"/>
        <v>5.7547050794935775</v>
      </c>
      <c r="M12">
        <v>12</v>
      </c>
      <c r="O12">
        <f t="shared" si="6"/>
        <v>305055.36444649531</v>
      </c>
      <c r="P12">
        <f t="shared" si="7"/>
        <v>9.2842283705113271</v>
      </c>
      <c r="Q12">
        <v>12</v>
      </c>
      <c r="S12">
        <f t="shared" si="8"/>
        <v>7.7680491413999997</v>
      </c>
      <c r="T12">
        <f t="shared" si="9"/>
        <v>3.725710510952192</v>
      </c>
      <c r="U12">
        <v>12</v>
      </c>
      <c r="W12">
        <f t="shared" si="10"/>
        <v>6.5067168691999999</v>
      </c>
      <c r="X12">
        <f t="shared" si="11"/>
        <v>24.484455295185597</v>
      </c>
    </row>
    <row r="13" spans="1:24">
      <c r="A13">
        <v>13</v>
      </c>
      <c r="C13">
        <f t="shared" si="0"/>
        <v>329123.14493422222</v>
      </c>
      <c r="D13">
        <f t="shared" si="1"/>
        <v>6.8891911385361571</v>
      </c>
      <c r="E13">
        <v>13</v>
      </c>
      <c r="G13">
        <f t="shared" si="2"/>
        <v>329123.14493422222</v>
      </c>
      <c r="H13">
        <f t="shared" si="3"/>
        <v>8.1605392027564818</v>
      </c>
      <c r="I13">
        <v>13</v>
      </c>
      <c r="K13">
        <f t="shared" si="4"/>
        <v>308926.4060634026</v>
      </c>
      <c r="L13">
        <f t="shared" si="5"/>
        <v>5.7603309628243107</v>
      </c>
      <c r="M13">
        <v>13</v>
      </c>
      <c r="O13">
        <f t="shared" si="6"/>
        <v>308926.4060634026</v>
      </c>
      <c r="P13">
        <f t="shared" si="7"/>
        <v>9.2803390501149838</v>
      </c>
      <c r="Q13">
        <v>13</v>
      </c>
      <c r="S13">
        <f t="shared" si="8"/>
        <v>7.7911250977000002</v>
      </c>
      <c r="T13">
        <f t="shared" si="9"/>
        <v>3.3861846949995593</v>
      </c>
      <c r="U13">
        <v>13</v>
      </c>
      <c r="W13">
        <f t="shared" si="10"/>
        <v>6.5515399336</v>
      </c>
      <c r="X13">
        <f t="shared" si="11"/>
        <v>23.765813714606153</v>
      </c>
    </row>
    <row r="14" spans="1:24">
      <c r="A14">
        <v>14</v>
      </c>
      <c r="C14">
        <f t="shared" si="0"/>
        <v>334677.24812369782</v>
      </c>
      <c r="D14">
        <f t="shared" si="1"/>
        <v>6.9063558264872089</v>
      </c>
      <c r="E14">
        <v>14</v>
      </c>
      <c r="G14">
        <f t="shared" si="2"/>
        <v>334677.24812369782</v>
      </c>
      <c r="H14">
        <f t="shared" si="3"/>
        <v>8.1458661051025985</v>
      </c>
      <c r="I14">
        <v>14</v>
      </c>
      <c r="K14">
        <f t="shared" si="4"/>
        <v>312797.44768030988</v>
      </c>
      <c r="L14">
        <f t="shared" si="5"/>
        <v>5.7658440013177819</v>
      </c>
      <c r="M14">
        <v>14</v>
      </c>
      <c r="O14">
        <f t="shared" si="6"/>
        <v>312797.44768030988</v>
      </c>
      <c r="P14">
        <f t="shared" si="7"/>
        <v>9.2765625745559035</v>
      </c>
      <c r="Q14">
        <v>14</v>
      </c>
      <c r="S14">
        <f t="shared" si="8"/>
        <v>7.8142010539999998</v>
      </c>
      <c r="T14">
        <f t="shared" si="9"/>
        <v>3.0415411949007742</v>
      </c>
      <c r="U14">
        <v>14</v>
      </c>
      <c r="W14">
        <f t="shared" si="10"/>
        <v>6.596362998</v>
      </c>
      <c r="X14">
        <f t="shared" si="11"/>
        <v>23.047494163158589</v>
      </c>
    </row>
    <row r="15" spans="1:24">
      <c r="A15">
        <v>15</v>
      </c>
      <c r="C15">
        <f t="shared" si="0"/>
        <v>340231.35131317342</v>
      </c>
      <c r="D15">
        <f t="shared" si="1"/>
        <v>6.9231878236679343</v>
      </c>
      <c r="E15">
        <v>15</v>
      </c>
      <c r="G15">
        <f t="shared" si="2"/>
        <v>340231.35131317342</v>
      </c>
      <c r="H15">
        <f t="shared" si="3"/>
        <v>8.1315256982190434</v>
      </c>
      <c r="I15">
        <v>15</v>
      </c>
      <c r="K15">
        <f t="shared" si="4"/>
        <v>316668.48929721722</v>
      </c>
      <c r="L15">
        <f t="shared" si="5"/>
        <v>5.7712432968785095</v>
      </c>
      <c r="M15">
        <v>15</v>
      </c>
      <c r="O15">
        <f t="shared" si="6"/>
        <v>316668.48929721722</v>
      </c>
      <c r="P15">
        <f t="shared" si="7"/>
        <v>9.2728998419295667</v>
      </c>
      <c r="Q15">
        <v>15</v>
      </c>
      <c r="S15">
        <f t="shared" si="8"/>
        <v>7.8372770102999993</v>
      </c>
      <c r="T15">
        <f t="shared" si="9"/>
        <v>2.692877323149542</v>
      </c>
      <c r="U15">
        <v>15</v>
      </c>
      <c r="W15">
        <f t="shared" si="10"/>
        <v>6.6411860624000001</v>
      </c>
      <c r="X15">
        <f t="shared" si="11"/>
        <v>22.329543635154657</v>
      </c>
    </row>
    <row r="16" spans="1:24">
      <c r="A16">
        <v>16</v>
      </c>
      <c r="C16">
        <f t="shared" si="0"/>
        <v>345785.45450264902</v>
      </c>
      <c r="D16">
        <f t="shared" si="1"/>
        <v>6.9396607157459247</v>
      </c>
      <c r="E16">
        <v>16</v>
      </c>
      <c r="G16">
        <f t="shared" si="2"/>
        <v>345785.45450264902</v>
      </c>
      <c r="H16">
        <f t="shared" si="3"/>
        <v>8.1175443964382232</v>
      </c>
      <c r="I16">
        <v>16</v>
      </c>
      <c r="K16">
        <f t="shared" si="4"/>
        <v>320539.53091412451</v>
      </c>
      <c r="L16">
        <f t="shared" si="5"/>
        <v>5.776527964198225</v>
      </c>
      <c r="M16">
        <v>16</v>
      </c>
      <c r="O16">
        <f t="shared" si="6"/>
        <v>320539.53091412451</v>
      </c>
      <c r="P16">
        <f t="shared" si="7"/>
        <v>9.2693517375442429</v>
      </c>
      <c r="Q16">
        <v>16</v>
      </c>
      <c r="S16">
        <f t="shared" si="8"/>
        <v>7.8603529665999998</v>
      </c>
      <c r="T16">
        <f t="shared" si="9"/>
        <v>2.3410053617799393</v>
      </c>
      <c r="U16">
        <v>16</v>
      </c>
      <c r="W16">
        <f t="shared" si="10"/>
        <v>6.6860091268000001</v>
      </c>
      <c r="X16">
        <f t="shared" si="11"/>
        <v>21.612018706037983</v>
      </c>
    </row>
    <row r="17" spans="1:24">
      <c r="A17">
        <v>17</v>
      </c>
      <c r="C17">
        <f t="shared" si="0"/>
        <v>351339.55769212462</v>
      </c>
      <c r="D17">
        <f t="shared" si="1"/>
        <v>6.955745928041444</v>
      </c>
      <c r="E17">
        <v>17</v>
      </c>
      <c r="G17">
        <f t="shared" si="2"/>
        <v>351339.55769212462</v>
      </c>
      <c r="H17">
        <f t="shared" si="3"/>
        <v>8.1039507744398733</v>
      </c>
      <c r="I17">
        <v>17</v>
      </c>
      <c r="K17">
        <f t="shared" si="4"/>
        <v>324410.57253103179</v>
      </c>
      <c r="L17">
        <f t="shared" si="5"/>
        <v>5.7816971315023942</v>
      </c>
      <c r="M17">
        <v>17</v>
      </c>
      <c r="O17">
        <f t="shared" si="6"/>
        <v>324410.57253103179</v>
      </c>
      <c r="P17">
        <f t="shared" si="7"/>
        <v>9.2659191331744637</v>
      </c>
      <c r="Q17">
        <v>17</v>
      </c>
      <c r="S17">
        <f t="shared" si="8"/>
        <v>7.8834289228999994</v>
      </c>
      <c r="T17">
        <f t="shared" si="9"/>
        <v>1.9865372284821374</v>
      </c>
      <c r="U17">
        <v>17</v>
      </c>
      <c r="W17">
        <f t="shared" si="10"/>
        <v>6.7308321912000002</v>
      </c>
      <c r="X17">
        <f t="shared" si="11"/>
        <v>20.894988096157391</v>
      </c>
    </row>
    <row r="18" spans="1:24">
      <c r="A18">
        <v>18</v>
      </c>
      <c r="C18">
        <f t="shared" si="0"/>
        <v>356893.66088160023</v>
      </c>
      <c r="D18">
        <f t="shared" si="1"/>
        <v>6.9714126228355582</v>
      </c>
      <c r="E18">
        <v>18</v>
      </c>
      <c r="G18">
        <f t="shared" si="2"/>
        <v>356893.66088160023</v>
      </c>
      <c r="H18">
        <f t="shared" si="3"/>
        <v>8.0907756699429285</v>
      </c>
      <c r="I18">
        <v>18</v>
      </c>
      <c r="K18">
        <f t="shared" si="4"/>
        <v>328281.61414793914</v>
      </c>
      <c r="L18">
        <f t="shared" si="5"/>
        <v>5.7867499412993268</v>
      </c>
      <c r="M18">
        <v>18</v>
      </c>
      <c r="O18">
        <f t="shared" si="6"/>
        <v>328281.61414793914</v>
      </c>
      <c r="P18">
        <f t="shared" si="7"/>
        <v>9.2626028863119227</v>
      </c>
      <c r="Q18">
        <v>18</v>
      </c>
      <c r="S18">
        <f t="shared" si="8"/>
        <v>7.9065048791999999</v>
      </c>
      <c r="T18">
        <f t="shared" si="9"/>
        <v>1.629941395912482</v>
      </c>
      <c r="U18">
        <v>18</v>
      </c>
      <c r="W18">
        <f t="shared" si="10"/>
        <v>6.7756552556000003</v>
      </c>
      <c r="X18">
        <f t="shared" si="11"/>
        <v>20.17853610084795</v>
      </c>
    </row>
    <row r="19" spans="1:24">
      <c r="A19">
        <v>19</v>
      </c>
      <c r="C19">
        <f t="shared" si="0"/>
        <v>362447.76407107583</v>
      </c>
      <c r="D19">
        <f t="shared" si="1"/>
        <v>6.9866276201057351</v>
      </c>
      <c r="E19">
        <v>19</v>
      </c>
      <c r="G19">
        <f t="shared" si="2"/>
        <v>362447.76407107583</v>
      </c>
      <c r="H19">
        <f t="shared" si="3"/>
        <v>8.0780522629699192</v>
      </c>
      <c r="I19">
        <v>19</v>
      </c>
      <c r="K19">
        <f t="shared" si="4"/>
        <v>332152.65576484642</v>
      </c>
      <c r="L19">
        <f t="shared" si="5"/>
        <v>5.7916855511306151</v>
      </c>
      <c r="M19">
        <v>19</v>
      </c>
      <c r="O19">
        <f t="shared" si="6"/>
        <v>332152.65576484642</v>
      </c>
      <c r="P19">
        <f t="shared" si="7"/>
        <v>9.2594038394150253</v>
      </c>
      <c r="Q19">
        <v>19</v>
      </c>
      <c r="S19">
        <f t="shared" si="8"/>
        <v>7.9295808354999995</v>
      </c>
      <c r="T19">
        <f t="shared" si="9"/>
        <v>1.2715818496961928</v>
      </c>
      <c r="U19">
        <v>19</v>
      </c>
      <c r="W19">
        <f t="shared" si="10"/>
        <v>6.8204783200000003</v>
      </c>
      <c r="X19">
        <f t="shared" si="11"/>
        <v>19.462767247066527</v>
      </c>
    </row>
    <row r="20" spans="1:24">
      <c r="A20">
        <v>20</v>
      </c>
      <c r="C20">
        <f t="shared" si="0"/>
        <v>368001.86726055143</v>
      </c>
      <c r="D20">
        <f t="shared" si="1"/>
        <v>7.0013553521822054</v>
      </c>
      <c r="E20">
        <v>20</v>
      </c>
      <c r="G20">
        <f t="shared" si="2"/>
        <v>368001.86726055143</v>
      </c>
      <c r="H20">
        <f t="shared" si="3"/>
        <v>8.0658161211906201</v>
      </c>
      <c r="I20">
        <v>20</v>
      </c>
      <c r="K20">
        <f t="shared" si="4"/>
        <v>336023.69738175371</v>
      </c>
      <c r="L20">
        <f t="shared" si="5"/>
        <v>5.7965031343216307</v>
      </c>
      <c r="M20">
        <v>20</v>
      </c>
      <c r="O20">
        <f t="shared" si="6"/>
        <v>336023.69738175371</v>
      </c>
      <c r="P20">
        <f t="shared" si="7"/>
        <v>9.2563228191584006</v>
      </c>
      <c r="Q20">
        <v>20</v>
      </c>
      <c r="S20">
        <f t="shared" si="8"/>
        <v>7.9526567918</v>
      </c>
      <c r="T20">
        <f t="shared" si="9"/>
        <v>0.91174522713926542</v>
      </c>
      <c r="U20">
        <v>20</v>
      </c>
      <c r="W20">
        <f t="shared" si="10"/>
        <v>6.8653013844000004</v>
      </c>
      <c r="X20">
        <f t="shared" si="11"/>
        <v>18.747812717888522</v>
      </c>
    </row>
    <row r="21" spans="1:24">
      <c r="A21">
        <v>21</v>
      </c>
      <c r="C21">
        <f t="shared" si="0"/>
        <v>373555.97045002703</v>
      </c>
      <c r="D21">
        <f t="shared" si="1"/>
        <v>7.0155578649815231</v>
      </c>
      <c r="E21">
        <v>21</v>
      </c>
      <c r="G21">
        <f t="shared" si="2"/>
        <v>373555.97045002703</v>
      </c>
      <c r="H21">
        <f t="shared" si="3"/>
        <v>8.0541051986884717</v>
      </c>
      <c r="I21">
        <v>21</v>
      </c>
      <c r="K21">
        <f t="shared" si="4"/>
        <v>339894.73899866099</v>
      </c>
      <c r="L21">
        <f t="shared" si="5"/>
        <v>5.8012018807307397</v>
      </c>
      <c r="M21">
        <v>21</v>
      </c>
      <c r="O21">
        <f t="shared" si="6"/>
        <v>339894.73899866099</v>
      </c>
      <c r="P21">
        <f t="shared" si="7"/>
        <v>9.2533606356836842</v>
      </c>
      <c r="Q21">
        <v>21</v>
      </c>
      <c r="S21">
        <f t="shared" si="8"/>
        <v>7.9757327480999995</v>
      </c>
      <c r="T21">
        <f t="shared" si="9"/>
        <v>0.55066004414859648</v>
      </c>
      <c r="U21">
        <v>21</v>
      </c>
      <c r="W21">
        <f t="shared" si="10"/>
        <v>6.9101244488000004</v>
      </c>
      <c r="X21">
        <f t="shared" si="11"/>
        <v>18.033839375796152</v>
      </c>
    </row>
    <row r="22" spans="1:24">
      <c r="A22">
        <v>22</v>
      </c>
      <c r="C22">
        <f t="shared" si="0"/>
        <v>379110.07363950257</v>
      </c>
      <c r="D22">
        <f t="shared" si="1"/>
        <v>7.0291948805951963</v>
      </c>
      <c r="E22">
        <v>22</v>
      </c>
      <c r="G22">
        <f t="shared" si="2"/>
        <v>379110.07363950257</v>
      </c>
      <c r="H22">
        <f t="shared" si="3"/>
        <v>8.0429597733719689</v>
      </c>
      <c r="I22">
        <v>22</v>
      </c>
      <c r="K22">
        <f t="shared" si="4"/>
        <v>343765.78061556828</v>
      </c>
      <c r="L22">
        <f t="shared" si="5"/>
        <v>5.8057809974958658</v>
      </c>
      <c r="M22">
        <v>22</v>
      </c>
      <c r="O22">
        <f t="shared" si="6"/>
        <v>343765.78061556828</v>
      </c>
      <c r="P22">
        <f t="shared" si="7"/>
        <v>9.2505180818529471</v>
      </c>
      <c r="Q22">
        <v>22</v>
      </c>
      <c r="S22">
        <f t="shared" si="8"/>
        <v>7.9988087044</v>
      </c>
      <c r="T22">
        <f t="shared" si="9"/>
        <v>0.18851053546062779</v>
      </c>
      <c r="U22">
        <v>22</v>
      </c>
      <c r="W22">
        <f t="shared" si="10"/>
        <v>6.9549475132000005</v>
      </c>
      <c r="X22">
        <f t="shared" si="11"/>
        <v>17.321062690797174</v>
      </c>
    </row>
    <row r="23" spans="1:24">
      <c r="A23">
        <v>23</v>
      </c>
      <c r="C23">
        <f t="shared" si="0"/>
        <v>384664.17682897818</v>
      </c>
      <c r="D23">
        <f t="shared" si="1"/>
        <v>7.0422239378295064</v>
      </c>
      <c r="E23">
        <v>23</v>
      </c>
      <c r="G23">
        <f t="shared" si="2"/>
        <v>384664.17682897818</v>
      </c>
      <c r="H23">
        <f t="shared" si="3"/>
        <v>8.0324223064348281</v>
      </c>
      <c r="I23">
        <v>23</v>
      </c>
      <c r="K23">
        <f t="shared" si="4"/>
        <v>347636.82223247562</v>
      </c>
      <c r="L23">
        <f t="shared" si="5"/>
        <v>5.8102397097770204</v>
      </c>
      <c r="M23">
        <v>23</v>
      </c>
      <c r="O23">
        <f t="shared" si="6"/>
        <v>347636.82223247562</v>
      </c>
      <c r="P23">
        <f t="shared" si="7"/>
        <v>9.2477959325061843</v>
      </c>
      <c r="Q23">
        <v>23</v>
      </c>
      <c r="S23">
        <f t="shared" si="8"/>
        <v>8.0218846606999996</v>
      </c>
      <c r="T23">
        <f t="shared" si="9"/>
        <v>-0.17455323314714377</v>
      </c>
      <c r="U23">
        <v>23</v>
      </c>
      <c r="W23">
        <f t="shared" si="10"/>
        <v>6.9997705776000005</v>
      </c>
      <c r="X23">
        <f t="shared" si="11"/>
        <v>16.609765680870531</v>
      </c>
    </row>
    <row r="24" spans="1:24">
      <c r="A24">
        <v>24</v>
      </c>
      <c r="C24">
        <f t="shared" si="0"/>
        <v>390218.28001845378</v>
      </c>
      <c r="D24">
        <f t="shared" si="1"/>
        <v>7.054600628434355</v>
      </c>
      <c r="E24">
        <v>24</v>
      </c>
      <c r="G24">
        <f t="shared" si="2"/>
        <v>390218.28001845378</v>
      </c>
      <c r="H24">
        <f t="shared" si="3"/>
        <v>8.0225372061271489</v>
      </c>
      <c r="I24">
        <v>24</v>
      </c>
      <c r="K24">
        <f t="shared" si="4"/>
        <v>351507.86384938291</v>
      </c>
      <c r="L24">
        <f t="shared" si="5"/>
        <v>5.8145772614933353</v>
      </c>
      <c r="M24">
        <v>24</v>
      </c>
      <c r="O24">
        <f t="shared" si="6"/>
        <v>351507.86384938291</v>
      </c>
      <c r="P24">
        <f t="shared" si="7"/>
        <v>9.2451949437242593</v>
      </c>
      <c r="Q24">
        <v>24</v>
      </c>
      <c r="S24">
        <f t="shared" si="8"/>
        <v>8.0449606169999992</v>
      </c>
      <c r="T24">
        <f t="shared" si="9"/>
        <v>-0.53840787321591499</v>
      </c>
      <c r="U24">
        <v>24</v>
      </c>
      <c r="W24">
        <f t="shared" si="10"/>
        <v>7.0445936420000006</v>
      </c>
      <c r="X24">
        <f t="shared" si="11"/>
        <v>15.900327366886742</v>
      </c>
    </row>
    <row r="25" spans="1:24">
      <c r="A25">
        <v>25</v>
      </c>
      <c r="C25">
        <f t="shared" si="0"/>
        <v>395772.38320792938</v>
      </c>
      <c r="D25">
        <f t="shared" si="1"/>
        <v>7.0662789467347871</v>
      </c>
      <c r="E25">
        <v>25</v>
      </c>
      <c r="G25">
        <f t="shared" si="2"/>
        <v>395772.38320792938</v>
      </c>
      <c r="H25">
        <f t="shared" si="3"/>
        <v>8.0133504781238862</v>
      </c>
      <c r="I25">
        <v>25</v>
      </c>
      <c r="K25">
        <f t="shared" si="4"/>
        <v>355378.90546629019</v>
      </c>
      <c r="L25">
        <f t="shared" si="5"/>
        <v>5.8187929160531748</v>
      </c>
      <c r="M25">
        <v>25</v>
      </c>
      <c r="O25">
        <f t="shared" si="6"/>
        <v>355378.90546629019</v>
      </c>
      <c r="P25">
        <f t="shared" si="7"/>
        <v>9.2427158520988115</v>
      </c>
      <c r="Q25">
        <v>25</v>
      </c>
      <c r="S25">
        <f t="shared" si="8"/>
        <v>8.0680365732999988</v>
      </c>
      <c r="T25">
        <f t="shared" si="9"/>
        <v>-0.90295105132371667</v>
      </c>
      <c r="U25">
        <v>25</v>
      </c>
      <c r="W25">
        <f t="shared" si="10"/>
        <v>7.0894167063999998</v>
      </c>
      <c r="X25">
        <f t="shared" si="11"/>
        <v>15.193266756767976</v>
      </c>
    </row>
    <row r="26" spans="1:24">
      <c r="A26">
        <v>26</v>
      </c>
      <c r="C26">
        <f t="shared" si="0"/>
        <v>401326.48639740498</v>
      </c>
      <c r="D26">
        <f t="shared" si="1"/>
        <v>7.0772117686056131</v>
      </c>
      <c r="E26">
        <v>26</v>
      </c>
      <c r="G26">
        <f t="shared" si="2"/>
        <v>401326.48639740498</v>
      </c>
      <c r="H26">
        <f t="shared" si="3"/>
        <v>8.0049092465502305</v>
      </c>
      <c r="I26">
        <v>26</v>
      </c>
      <c r="K26">
        <f t="shared" si="4"/>
        <v>359249.94708319753</v>
      </c>
      <c r="L26">
        <f t="shared" si="5"/>
        <v>5.8228859570758136</v>
      </c>
      <c r="M26">
        <v>26</v>
      </c>
      <c r="O26">
        <f t="shared" si="6"/>
        <v>359249.94708319753</v>
      </c>
      <c r="P26">
        <f t="shared" si="7"/>
        <v>9.2403593740105627</v>
      </c>
      <c r="Q26">
        <v>26</v>
      </c>
      <c r="S26">
        <f t="shared" si="8"/>
        <v>8.0911125296000002</v>
      </c>
      <c r="T26">
        <f t="shared" si="9"/>
        <v>-1.2680972188058526</v>
      </c>
      <c r="U26">
        <v>26</v>
      </c>
      <c r="W26">
        <f t="shared" si="10"/>
        <v>7.1342397708000007</v>
      </c>
      <c r="X26">
        <f t="shared" si="11"/>
        <v>14.489313079961565</v>
      </c>
    </row>
    <row r="27" spans="1:24">
      <c r="A27">
        <v>27</v>
      </c>
      <c r="C27">
        <f t="shared" si="0"/>
        <v>406880.58958688058</v>
      </c>
      <c r="D27">
        <f t="shared" si="1"/>
        <v>7.0873514715929726</v>
      </c>
      <c r="E27">
        <v>27</v>
      </c>
      <c r="G27">
        <f t="shared" si="2"/>
        <v>406880.58958688058</v>
      </c>
      <c r="H27">
        <f t="shared" si="3"/>
        <v>7.9972611338600395</v>
      </c>
      <c r="I27">
        <v>27</v>
      </c>
      <c r="K27">
        <f t="shared" si="4"/>
        <v>363120.98870010482</v>
      </c>
      <c r="L27">
        <f t="shared" si="5"/>
        <v>5.8268556891032031</v>
      </c>
      <c r="M27">
        <v>27</v>
      </c>
      <c r="O27">
        <f t="shared" si="6"/>
        <v>363120.98870010482</v>
      </c>
      <c r="P27">
        <f t="shared" si="7"/>
        <v>9.238126204917565</v>
      </c>
      <c r="Q27">
        <v>27</v>
      </c>
      <c r="S27">
        <f t="shared" si="8"/>
        <v>8.1141884858999997</v>
      </c>
      <c r="T27">
        <f t="shared" si="9"/>
        <v>-1.6337743320092031</v>
      </c>
      <c r="U27">
        <v>27</v>
      </c>
      <c r="W27">
        <f t="shared" si="10"/>
        <v>7.1790628351999999</v>
      </c>
      <c r="X27">
        <f t="shared" si="11"/>
        <v>13.789522201913687</v>
      </c>
    </row>
    <row r="28" spans="1:24">
      <c r="A28">
        <v>28</v>
      </c>
      <c r="C28">
        <f t="shared" si="0"/>
        <v>412434.69277635618</v>
      </c>
      <c r="D28">
        <f t="shared" si="1"/>
        <v>7.0966507009556494</v>
      </c>
      <c r="E28">
        <v>28</v>
      </c>
      <c r="G28">
        <f t="shared" si="2"/>
        <v>412434.69277635618</v>
      </c>
      <c r="H28">
        <f t="shared" si="3"/>
        <v>7.9904534947945329</v>
      </c>
      <c r="I28">
        <v>28</v>
      </c>
      <c r="K28">
        <f t="shared" si="4"/>
        <v>366992.0303170121</v>
      </c>
      <c r="L28">
        <f t="shared" si="5"/>
        <v>5.8307014383003004</v>
      </c>
      <c r="M28">
        <v>28</v>
      </c>
      <c r="O28">
        <f t="shared" si="6"/>
        <v>366992.0303170121</v>
      </c>
      <c r="P28">
        <f t="shared" si="7"/>
        <v>9.2360170186548594</v>
      </c>
      <c r="Q28">
        <v>28</v>
      </c>
      <c r="S28">
        <f t="shared" si="8"/>
        <v>8.1372644421999993</v>
      </c>
      <c r="T28">
        <f t="shared" si="9"/>
        <v>-1.9999213070702506</v>
      </c>
      <c r="U28">
        <v>28</v>
      </c>
      <c r="W28">
        <f t="shared" si="10"/>
        <v>7.2238858995999999</v>
      </c>
      <c r="X28">
        <f t="shared" si="11"/>
        <v>13.095478069220094</v>
      </c>
    </row>
    <row r="29" spans="1:24">
      <c r="A29">
        <v>29</v>
      </c>
      <c r="C29">
        <f t="shared" si="0"/>
        <v>417988.79596583178</v>
      </c>
      <c r="D29">
        <f t="shared" si="1"/>
        <v>7.1050632761959598</v>
      </c>
      <c r="E29">
        <v>29</v>
      </c>
      <c r="G29">
        <f t="shared" si="2"/>
        <v>417988.79596583178</v>
      </c>
      <c r="H29">
        <f t="shared" si="3"/>
        <v>7.9845325098513911</v>
      </c>
      <c r="I29">
        <v>29</v>
      </c>
      <c r="K29">
        <f t="shared" si="4"/>
        <v>370863.07193391939</v>
      </c>
      <c r="L29">
        <f t="shared" si="5"/>
        <v>5.8344225531424474</v>
      </c>
      <c r="M29">
        <v>29</v>
      </c>
      <c r="O29">
        <f t="shared" si="6"/>
        <v>370863.07193391939</v>
      </c>
      <c r="P29">
        <f t="shared" si="7"/>
        <v>9.2340324667471023</v>
      </c>
      <c r="Q29">
        <v>29</v>
      </c>
      <c r="S29">
        <f t="shared" si="8"/>
        <v>8.1603403984999989</v>
      </c>
      <c r="T29">
        <f t="shared" si="9"/>
        <v>-2.3664860255585705</v>
      </c>
      <c r="U29">
        <v>29</v>
      </c>
      <c r="W29">
        <f t="shared" si="10"/>
        <v>7.268708964</v>
      </c>
      <c r="X29">
        <f t="shared" si="11"/>
        <v>12.409659079032719</v>
      </c>
    </row>
    <row r="30" spans="1:24">
      <c r="A30">
        <v>30</v>
      </c>
      <c r="C30">
        <f t="shared" si="0"/>
        <v>423542.89915530739</v>
      </c>
      <c r="D30">
        <f t="shared" si="1"/>
        <v>7.1125452194599106</v>
      </c>
      <c r="E30">
        <v>30</v>
      </c>
      <c r="G30">
        <f t="shared" si="2"/>
        <v>423542.89915530739</v>
      </c>
      <c r="H30">
        <f t="shared" si="3"/>
        <v>7.9795421568846105</v>
      </c>
      <c r="I30">
        <v>30</v>
      </c>
      <c r="K30">
        <f t="shared" si="4"/>
        <v>374734.11355082667</v>
      </c>
      <c r="L30">
        <f t="shared" si="5"/>
        <v>5.8380184050882811</v>
      </c>
      <c r="M30">
        <v>30</v>
      </c>
      <c r="O30">
        <f t="shared" si="6"/>
        <v>374734.11355082667</v>
      </c>
      <c r="P30">
        <f t="shared" si="7"/>
        <v>9.2321731777356604</v>
      </c>
      <c r="Q30">
        <v>30</v>
      </c>
      <c r="S30">
        <f t="shared" si="8"/>
        <v>8.1834163548000003</v>
      </c>
      <c r="T30">
        <f t="shared" si="9"/>
        <v>-2.7334237576359541</v>
      </c>
      <c r="U30">
        <v>30</v>
      </c>
      <c r="W30">
        <f t="shared" si="10"/>
        <v>7.3135320284000001</v>
      </c>
      <c r="X30">
        <f t="shared" si="11"/>
        <v>11.736143640977517</v>
      </c>
    </row>
    <row r="31" spans="1:24">
      <c r="A31">
        <v>31</v>
      </c>
      <c r="C31">
        <f t="shared" si="0"/>
        <v>429097.00234478299</v>
      </c>
      <c r="D31">
        <f t="shared" si="1"/>
        <v>7.1190558718579551</v>
      </c>
      <c r="E31">
        <v>31</v>
      </c>
      <c r="G31">
        <f t="shared" si="2"/>
        <v>429097.00234478299</v>
      </c>
      <c r="H31">
        <f t="shared" si="3"/>
        <v>7.9755230947837363</v>
      </c>
      <c r="I31">
        <v>31</v>
      </c>
      <c r="K31">
        <f t="shared" si="4"/>
        <v>378605.15516773402</v>
      </c>
      <c r="L31">
        <f t="shared" si="5"/>
        <v>5.8414883892366305</v>
      </c>
      <c r="M31">
        <v>31</v>
      </c>
      <c r="O31">
        <f t="shared" si="6"/>
        <v>378605.15516773402</v>
      </c>
      <c r="P31">
        <f t="shared" si="7"/>
        <v>9.2304397565217009</v>
      </c>
      <c r="Q31">
        <v>31</v>
      </c>
      <c r="S31">
        <f t="shared" si="8"/>
        <v>8.2064923110999999</v>
      </c>
      <c r="T31">
        <f t="shared" si="9"/>
        <v>-3.1006959048051943</v>
      </c>
      <c r="U31">
        <v>31</v>
      </c>
      <c r="W31">
        <f t="shared" si="10"/>
        <v>7.3583550928000001</v>
      </c>
      <c r="X31">
        <f t="shared" si="11"/>
        <v>11.082058998549718</v>
      </c>
    </row>
    <row r="32" spans="1:24">
      <c r="A32">
        <v>32</v>
      </c>
      <c r="C32">
        <f t="shared" si="0"/>
        <v>434651.10553425859</v>
      </c>
      <c r="D32">
        <f t="shared" si="1"/>
        <v>7.1245590479229373</v>
      </c>
      <c r="E32">
        <v>32</v>
      </c>
      <c r="G32">
        <f t="shared" si="2"/>
        <v>434651.10553425859</v>
      </c>
      <c r="H32">
        <f t="shared" si="3"/>
        <v>7.9725115090159226</v>
      </c>
      <c r="I32">
        <v>32</v>
      </c>
      <c r="K32">
        <f t="shared" si="4"/>
        <v>382476.1967846413</v>
      </c>
      <c r="L32">
        <f t="shared" si="5"/>
        <v>5.8448319249659413</v>
      </c>
      <c r="M32">
        <v>32</v>
      </c>
      <c r="O32">
        <f t="shared" si="6"/>
        <v>382476.1967846413</v>
      </c>
      <c r="P32">
        <f t="shared" si="7"/>
        <v>9.2288327837267818</v>
      </c>
      <c r="Q32">
        <v>32</v>
      </c>
      <c r="S32">
        <f t="shared" si="8"/>
        <v>8.2295682673999995</v>
      </c>
      <c r="T32">
        <f t="shared" si="9"/>
        <v>-3.468268989567731</v>
      </c>
      <c r="U32">
        <v>32</v>
      </c>
      <c r="W32">
        <f t="shared" si="10"/>
        <v>7.4031781572000002</v>
      </c>
      <c r="X32">
        <f t="shared" si="11"/>
        <v>10.460758898770946</v>
      </c>
    </row>
    <row r="33" spans="1:24">
      <c r="A33">
        <v>33</v>
      </c>
      <c r="C33">
        <f t="shared" ref="C33:C64" si="12">262473.906660515+(A33-1)*5554.1031894756</f>
        <v>440205.20872373419</v>
      </c>
      <c r="D33">
        <f t="shared" ref="D33:D64" si="13">7.45104226832377+2.24301765034798E-07*C33-1.61653940236522*(0.0666666666666667+(C33-454049.662891246)^2/177420185700.09)^0.5</f>
        <v>7.1290241644394028</v>
      </c>
      <c r="E33">
        <v>33</v>
      </c>
      <c r="G33">
        <f t="shared" ref="G33:G64" si="14">262473.906660515+(E33-1)*5554.1031894756</f>
        <v>440205.20872373419</v>
      </c>
      <c r="H33">
        <f t="shared" ref="H33:H64" si="15">7.45104226832377+2.24301765034798E-07*G33+1.61653940236522*(0.0666666666666667+(G33-454049.662891246)^2/177420185700.09)^0.5</f>
        <v>7.9705379827966274</v>
      </c>
      <c r="I33">
        <v>33</v>
      </c>
      <c r="K33">
        <f t="shared" ref="K33:K64" si="16">262473.906660515+(I33-1)*3871.0416169073</f>
        <v>386347.23840154859</v>
      </c>
      <c r="L33">
        <f t="shared" ref="L33:L64" si="17">7.45104226832377+2.24301765034798E-07*K33-1.61653940236522*(1.06666666666667+(K33-454049.662891246)^2/177420185700.09)^0.5</f>
        <v>5.8480484565546647</v>
      </c>
      <c r="M33">
        <v>33</v>
      </c>
      <c r="O33">
        <f t="shared" ref="O33:O64" si="18">262473.906660515+(M33-1)*3871.0416169073</f>
        <v>386347.23840154859</v>
      </c>
      <c r="P33">
        <f t="shared" ref="P33:P64" si="19">7.45104226832377+2.24301765034798E-07*O33+1.61653940236522*(1.06666666666667+(O33-454049.662891246)^2/177420185700.09)^0.5</f>
        <v>9.2273528150724484</v>
      </c>
      <c r="Q33">
        <v>33</v>
      </c>
      <c r="S33">
        <f t="shared" ref="S33:S64" si="20">7.5142136221+(Q33-1)*0.0230759563</f>
        <v>8.2526442236999991</v>
      </c>
      <c r="T33">
        <f t="shared" ref="T33:T64" si="21">0+1*S33-1.61653940236522*(1.06666666666667+(S33-7.55288640912374)^2/0.00892623695936221)^0.5</f>
        <v>-3.836113837502225</v>
      </c>
      <c r="U33">
        <v>33</v>
      </c>
      <c r="W33">
        <f t="shared" ref="W33:W64" si="22">6.0136631608+(U33-1)*0.0448230644</f>
        <v>7.4480012216000002</v>
      </c>
      <c r="X33">
        <f t="shared" ref="X33:X64" si="23">0+1*W33+1.61653940236522*(1.06666666666667+(W33-7.55288640912374)^2/0.00892623695936221)^0.5</f>
        <v>9.8991195615205783</v>
      </c>
    </row>
    <row r="34" spans="1:24">
      <c r="A34">
        <v>34</v>
      </c>
      <c r="C34">
        <f t="shared" si="12"/>
        <v>445759.31191320979</v>
      </c>
      <c r="D34">
        <f t="shared" si="13"/>
        <v>7.1324272705275069</v>
      </c>
      <c r="E34">
        <v>34</v>
      </c>
      <c r="G34">
        <f t="shared" si="14"/>
        <v>445759.31191320979</v>
      </c>
      <c r="H34">
        <f t="shared" si="15"/>
        <v>7.9696264670056918</v>
      </c>
      <c r="I34">
        <v>34</v>
      </c>
      <c r="K34">
        <f t="shared" si="16"/>
        <v>390218.28001845593</v>
      </c>
      <c r="L34">
        <f t="shared" si="17"/>
        <v>5.8511374537812078</v>
      </c>
      <c r="M34">
        <v>34</v>
      </c>
      <c r="O34">
        <f t="shared" si="18"/>
        <v>390218.28001845593</v>
      </c>
      <c r="P34">
        <f t="shared" si="19"/>
        <v>9.226000380780297</v>
      </c>
      <c r="Q34">
        <v>34</v>
      </c>
      <c r="S34">
        <f t="shared" si="20"/>
        <v>8.2757201800000004</v>
      </c>
      <c r="T34">
        <f t="shared" si="21"/>
        <v>-4.2042049105301604</v>
      </c>
      <c r="U34">
        <v>34</v>
      </c>
      <c r="W34">
        <f t="shared" si="22"/>
        <v>7.4928242860000003</v>
      </c>
      <c r="X34">
        <f t="shared" si="23"/>
        <v>9.4533125295006126</v>
      </c>
    </row>
    <row r="35" spans="1:24">
      <c r="A35">
        <v>35</v>
      </c>
      <c r="C35">
        <f t="shared" si="12"/>
        <v>451313.41510268539</v>
      </c>
      <c r="D35">
        <f t="shared" si="13"/>
        <v>7.1347519037827283</v>
      </c>
      <c r="E35">
        <v>35</v>
      </c>
      <c r="G35">
        <f t="shared" si="14"/>
        <v>451313.41510268539</v>
      </c>
      <c r="H35">
        <f t="shared" si="15"/>
        <v>7.9697934240476407</v>
      </c>
      <c r="I35">
        <v>35</v>
      </c>
      <c r="K35">
        <f t="shared" si="16"/>
        <v>394089.32163536322</v>
      </c>
      <c r="L35">
        <f t="shared" si="17"/>
        <v>5.8540984125019246</v>
      </c>
      <c r="M35">
        <v>35</v>
      </c>
      <c r="O35">
        <f t="shared" si="18"/>
        <v>394089.32163536322</v>
      </c>
      <c r="P35">
        <f t="shared" si="19"/>
        <v>9.2247759849939701</v>
      </c>
      <c r="Q35">
        <v>35</v>
      </c>
      <c r="S35">
        <f t="shared" si="20"/>
        <v>8.2987961363</v>
      </c>
      <c r="T35">
        <f t="shared" si="21"/>
        <v>-4.572519759885143</v>
      </c>
      <c r="U35">
        <v>35</v>
      </c>
      <c r="W35">
        <f t="shared" si="22"/>
        <v>7.5376473504000003</v>
      </c>
      <c r="X35">
        <f t="shared" si="23"/>
        <v>9.227439971123875</v>
      </c>
    </row>
    <row r="36" spans="1:24">
      <c r="A36">
        <v>36</v>
      </c>
      <c r="C36">
        <f t="shared" si="12"/>
        <v>456867.518292161</v>
      </c>
      <c r="D36">
        <f t="shared" si="13"/>
        <v>7.1359897042354303</v>
      </c>
      <c r="E36">
        <v>36</v>
      </c>
      <c r="G36">
        <f t="shared" si="14"/>
        <v>456867.518292161</v>
      </c>
      <c r="H36">
        <f t="shared" si="15"/>
        <v>7.9710472138921071</v>
      </c>
      <c r="I36">
        <v>36</v>
      </c>
      <c r="K36">
        <f t="shared" si="16"/>
        <v>397960.3632522705</v>
      </c>
      <c r="L36">
        <f t="shared" si="17"/>
        <v>5.8569308552058086</v>
      </c>
      <c r="M36">
        <v>36</v>
      </c>
      <c r="O36">
        <f t="shared" si="18"/>
        <v>397960.3632522705</v>
      </c>
      <c r="P36">
        <f t="shared" si="19"/>
        <v>9.2236801052244779</v>
      </c>
      <c r="Q36">
        <v>36</v>
      </c>
      <c r="S36">
        <f t="shared" si="20"/>
        <v>8.3218720925999996</v>
      </c>
      <c r="T36">
        <f t="shared" si="21"/>
        <v>-4.9410385745467451</v>
      </c>
      <c r="U36">
        <v>36</v>
      </c>
      <c r="W36">
        <f t="shared" si="22"/>
        <v>7.5824704148000004</v>
      </c>
      <c r="X36">
        <f t="shared" si="23"/>
        <v>9.3270723638821504</v>
      </c>
    </row>
    <row r="37" spans="1:24">
      <c r="A37">
        <v>37</v>
      </c>
      <c r="C37">
        <f t="shared" si="12"/>
        <v>462421.6214816366</v>
      </c>
      <c r="D37">
        <f t="shared" si="13"/>
        <v>7.1361407341532379</v>
      </c>
      <c r="E37">
        <v>37</v>
      </c>
      <c r="G37">
        <f t="shared" si="14"/>
        <v>462421.6214816366</v>
      </c>
      <c r="H37">
        <f t="shared" si="15"/>
        <v>7.9733877742714698</v>
      </c>
      <c r="I37">
        <v>37</v>
      </c>
      <c r="K37">
        <f t="shared" si="16"/>
        <v>401831.40486917784</v>
      </c>
      <c r="L37">
        <f t="shared" si="17"/>
        <v>5.8596343315444308</v>
      </c>
      <c r="M37">
        <v>37</v>
      </c>
      <c r="O37">
        <f t="shared" si="18"/>
        <v>401831.40486917784</v>
      </c>
      <c r="P37">
        <f t="shared" si="19"/>
        <v>9.2227131918202474</v>
      </c>
      <c r="Q37">
        <v>37</v>
      </c>
      <c r="S37">
        <f t="shared" si="20"/>
        <v>8.3449480488999992</v>
      </c>
      <c r="T37">
        <f t="shared" si="21"/>
        <v>-5.3097438063277753</v>
      </c>
      <c r="U37">
        <v>37</v>
      </c>
      <c r="W37">
        <f t="shared" si="22"/>
        <v>7.6272934792000004</v>
      </c>
      <c r="X37">
        <f t="shared" si="23"/>
        <v>9.7268707537886865</v>
      </c>
    </row>
    <row r="38" spans="1:24">
      <c r="A38">
        <v>38</v>
      </c>
      <c r="C38">
        <f t="shared" si="12"/>
        <v>467975.7246711122</v>
      </c>
      <c r="D38">
        <f t="shared" si="13"/>
        <v>7.1352134756389889</v>
      </c>
      <c r="E38">
        <v>38</v>
      </c>
      <c r="G38">
        <f t="shared" si="14"/>
        <v>467975.7246711122</v>
      </c>
      <c r="H38">
        <f t="shared" si="15"/>
        <v>7.9768066230828891</v>
      </c>
      <c r="I38">
        <v>38</v>
      </c>
      <c r="K38">
        <f t="shared" si="16"/>
        <v>405702.44648608507</v>
      </c>
      <c r="L38">
        <f t="shared" si="17"/>
        <v>5.8622084188358556</v>
      </c>
      <c r="M38">
        <v>38</v>
      </c>
      <c r="O38">
        <f t="shared" si="18"/>
        <v>405702.44648608507</v>
      </c>
      <c r="P38">
        <f t="shared" si="19"/>
        <v>9.2218756674632125</v>
      </c>
      <c r="Q38">
        <v>38</v>
      </c>
      <c r="S38">
        <f t="shared" si="20"/>
        <v>8.3680240051999988</v>
      </c>
      <c r="T38">
        <f t="shared" si="21"/>
        <v>-5.6786198569086643</v>
      </c>
      <c r="U38">
        <v>38</v>
      </c>
      <c r="W38">
        <f t="shared" si="22"/>
        <v>7.6721165436000005</v>
      </c>
      <c r="X38">
        <f t="shared" si="23"/>
        <v>10.308243516023161</v>
      </c>
    </row>
    <row r="39" spans="1:24">
      <c r="A39">
        <v>39</v>
      </c>
      <c r="C39">
        <f t="shared" si="12"/>
        <v>473529.8278605878</v>
      </c>
      <c r="D39">
        <f t="shared" si="13"/>
        <v>7.1332245062374051</v>
      </c>
      <c r="E39">
        <v>39</v>
      </c>
      <c r="G39">
        <f t="shared" si="14"/>
        <v>473529.8278605878</v>
      </c>
      <c r="H39">
        <f t="shared" si="15"/>
        <v>7.9812871827816414</v>
      </c>
      <c r="I39">
        <v>39</v>
      </c>
      <c r="K39">
        <f t="shared" si="16"/>
        <v>409573.48810299241</v>
      </c>
      <c r="L39">
        <f t="shared" si="17"/>
        <v>5.8646527225412211</v>
      </c>
      <c r="M39">
        <v>39</v>
      </c>
      <c r="O39">
        <f t="shared" si="18"/>
        <v>409573.48810299241</v>
      </c>
      <c r="P39">
        <f t="shared" si="19"/>
        <v>9.2211679266922388</v>
      </c>
      <c r="Q39">
        <v>39</v>
      </c>
      <c r="S39">
        <f t="shared" si="20"/>
        <v>8.3910999615000001</v>
      </c>
      <c r="T39">
        <f t="shared" si="21"/>
        <v>-6.0476528152390436</v>
      </c>
      <c r="U39">
        <v>39</v>
      </c>
      <c r="W39">
        <f t="shared" si="22"/>
        <v>7.7169396080000006</v>
      </c>
      <c r="X39">
        <f t="shared" si="23"/>
        <v>10.982893987510558</v>
      </c>
    </row>
    <row r="40" spans="1:24">
      <c r="A40">
        <v>40</v>
      </c>
      <c r="C40">
        <f t="shared" si="12"/>
        <v>479083.9310500634</v>
      </c>
      <c r="D40">
        <f t="shared" si="13"/>
        <v>7.1301978809904796</v>
      </c>
      <c r="E40">
        <v>40</v>
      </c>
      <c r="G40">
        <f t="shared" si="14"/>
        <v>479083.9310500634</v>
      </c>
      <c r="H40">
        <f t="shared" si="15"/>
        <v>7.9868053983257372</v>
      </c>
      <c r="I40">
        <v>40</v>
      </c>
      <c r="K40">
        <f t="shared" si="16"/>
        <v>413444.5297198997</v>
      </c>
      <c r="L40">
        <f t="shared" si="17"/>
        <v>5.8669668767127501</v>
      </c>
      <c r="M40">
        <v>40</v>
      </c>
      <c r="O40">
        <f t="shared" si="18"/>
        <v>413444.5297198997</v>
      </c>
      <c r="P40">
        <f t="shared" si="19"/>
        <v>9.2205903354550998</v>
      </c>
      <c r="Q40">
        <v>40</v>
      </c>
      <c r="S40">
        <f t="shared" si="20"/>
        <v>8.4141759177999997</v>
      </c>
      <c r="T40">
        <f t="shared" si="21"/>
        <v>-6.41683023612784</v>
      </c>
      <c r="U40">
        <v>40</v>
      </c>
      <c r="W40">
        <f t="shared" si="22"/>
        <v>7.7617626723999997</v>
      </c>
      <c r="X40">
        <f t="shared" si="23"/>
        <v>11.706392251320054</v>
      </c>
    </row>
    <row r="41" spans="1:24">
      <c r="A41">
        <v>41</v>
      </c>
      <c r="C41">
        <f t="shared" si="12"/>
        <v>484638.034239539</v>
      </c>
      <c r="D41">
        <f t="shared" si="13"/>
        <v>7.1261642732193708</v>
      </c>
      <c r="E41">
        <v>41</v>
      </c>
      <c r="G41">
        <f t="shared" si="14"/>
        <v>484638.034239539</v>
      </c>
      <c r="H41">
        <f t="shared" si="15"/>
        <v>7.9933305963940144</v>
      </c>
      <c r="I41">
        <v>41</v>
      </c>
      <c r="K41">
        <f t="shared" si="16"/>
        <v>417315.57133680698</v>
      </c>
      <c r="L41">
        <f t="shared" si="17"/>
        <v>5.8691505444120597</v>
      </c>
      <c r="M41">
        <v>41</v>
      </c>
      <c r="O41">
        <f t="shared" si="18"/>
        <v>417315.57133680698</v>
      </c>
      <c r="P41">
        <f t="shared" si="19"/>
        <v>9.2201432306901818</v>
      </c>
      <c r="Q41">
        <v>41</v>
      </c>
      <c r="S41">
        <f t="shared" si="20"/>
        <v>8.4372518740999993</v>
      </c>
      <c r="T41">
        <f t="shared" si="21"/>
        <v>-6.7861409527005971</v>
      </c>
      <c r="U41">
        <v>41</v>
      </c>
      <c r="W41">
        <f t="shared" si="22"/>
        <v>7.8065857368000007</v>
      </c>
      <c r="X41">
        <f t="shared" si="23"/>
        <v>12.457402754516099</v>
      </c>
    </row>
    <row r="42" spans="1:24">
      <c r="A42">
        <v>42</v>
      </c>
      <c r="C42">
        <f t="shared" si="12"/>
        <v>490192.13742901455</v>
      </c>
      <c r="D42">
        <f t="shared" si="13"/>
        <v>7.1211599424399274</v>
      </c>
      <c r="E42">
        <v>42</v>
      </c>
      <c r="G42">
        <f t="shared" si="14"/>
        <v>490192.13742901455</v>
      </c>
      <c r="H42">
        <f t="shared" si="15"/>
        <v>8.0008265174706281</v>
      </c>
      <c r="I42">
        <v>42</v>
      </c>
      <c r="K42">
        <f t="shared" si="16"/>
        <v>421186.61295371433</v>
      </c>
      <c r="L42">
        <f t="shared" si="17"/>
        <v>5.8712034180976325</v>
      </c>
      <c r="M42">
        <v>42</v>
      </c>
      <c r="O42">
        <f t="shared" si="18"/>
        <v>421186.61295371433</v>
      </c>
      <c r="P42">
        <f t="shared" si="19"/>
        <v>9.2198269199389991</v>
      </c>
      <c r="Q42">
        <v>42</v>
      </c>
      <c r="S42">
        <f t="shared" si="20"/>
        <v>8.4603278303999989</v>
      </c>
      <c r="T42">
        <f t="shared" si="21"/>
        <v>-7.1555749168479057</v>
      </c>
      <c r="U42">
        <v>42</v>
      </c>
      <c r="W42">
        <f t="shared" si="22"/>
        <v>7.8514088011999998</v>
      </c>
      <c r="X42">
        <f t="shared" si="23"/>
        <v>13.225089779933636</v>
      </c>
    </row>
    <row r="43" spans="1:24">
      <c r="A43">
        <v>43</v>
      </c>
      <c r="C43">
        <f t="shared" si="12"/>
        <v>495746.24061849015</v>
      </c>
      <c r="D43">
        <f t="shared" si="13"/>
        <v>7.1152256046427675</v>
      </c>
      <c r="E43">
        <v>43</v>
      </c>
      <c r="G43">
        <f t="shared" si="14"/>
        <v>495746.24061849015</v>
      </c>
      <c r="H43">
        <f t="shared" si="15"/>
        <v>8.0092524455649592</v>
      </c>
      <c r="I43">
        <v>43</v>
      </c>
      <c r="K43">
        <f t="shared" si="16"/>
        <v>425057.65457062161</v>
      </c>
      <c r="L43">
        <f t="shared" si="17"/>
        <v>5.8731252199804587</v>
      </c>
      <c r="M43">
        <v>43</v>
      </c>
      <c r="O43">
        <f t="shared" si="18"/>
        <v>425057.65457062161</v>
      </c>
      <c r="P43">
        <f t="shared" si="19"/>
        <v>9.2196416809905646</v>
      </c>
      <c r="Q43">
        <v>43</v>
      </c>
      <c r="S43">
        <f t="shared" si="20"/>
        <v>8.4834037867000003</v>
      </c>
      <c r="T43">
        <f t="shared" si="21"/>
        <v>-7.5251230629232548</v>
      </c>
      <c r="U43">
        <v>43</v>
      </c>
      <c r="W43">
        <f t="shared" si="22"/>
        <v>7.8962318656000008</v>
      </c>
      <c r="X43">
        <f t="shared" si="23"/>
        <v>14.003534666482702</v>
      </c>
    </row>
    <row r="44" spans="1:24">
      <c r="A44">
        <v>44</v>
      </c>
      <c r="C44">
        <f t="shared" si="12"/>
        <v>501300.34380796575</v>
      </c>
      <c r="D44">
        <f t="shared" si="13"/>
        <v>7.1084052779641125</v>
      </c>
      <c r="E44">
        <v>44</v>
      </c>
      <c r="G44">
        <f t="shared" si="14"/>
        <v>501300.34380796575</v>
      </c>
      <c r="H44">
        <f t="shared" si="15"/>
        <v>8.018564362540781</v>
      </c>
      <c r="I44">
        <v>44</v>
      </c>
      <c r="K44">
        <f t="shared" si="16"/>
        <v>428928.6961875289</v>
      </c>
      <c r="L44">
        <f t="shared" si="17"/>
        <v>5.8749157023468666</v>
      </c>
      <c r="M44">
        <v>44</v>
      </c>
      <c r="O44">
        <f t="shared" si="18"/>
        <v>428928.6961875289</v>
      </c>
      <c r="P44">
        <f t="shared" si="19"/>
        <v>9.2195877615585466</v>
      </c>
      <c r="Q44">
        <v>44</v>
      </c>
      <c r="S44">
        <f t="shared" si="20"/>
        <v>8.5064797429999999</v>
      </c>
      <c r="T44">
        <f t="shared" si="21"/>
        <v>-7.8947771908418112</v>
      </c>
      <c r="U44">
        <v>44</v>
      </c>
      <c r="W44">
        <f t="shared" si="22"/>
        <v>7.94105493</v>
      </c>
      <c r="X44">
        <f t="shared" si="23"/>
        <v>14.789280952385283</v>
      </c>
    </row>
    <row r="45" spans="1:24">
      <c r="A45">
        <v>45</v>
      </c>
      <c r="C45">
        <f t="shared" si="12"/>
        <v>506854.44699744135</v>
      </c>
      <c r="D45">
        <f t="shared" si="13"/>
        <v>7.1007451673343329</v>
      </c>
      <c r="E45">
        <v>45</v>
      </c>
      <c r="G45">
        <f t="shared" si="14"/>
        <v>506854.44699744135</v>
      </c>
      <c r="H45">
        <f t="shared" si="15"/>
        <v>8.0287160634677317</v>
      </c>
      <c r="I45">
        <v>45</v>
      </c>
      <c r="K45">
        <f t="shared" si="16"/>
        <v>432799.73780443624</v>
      </c>
      <c r="L45">
        <f t="shared" si="17"/>
        <v>5.8765746478477174</v>
      </c>
      <c r="M45">
        <v>45</v>
      </c>
      <c r="O45">
        <f t="shared" si="18"/>
        <v>432799.73780443624</v>
      </c>
      <c r="P45">
        <f t="shared" si="19"/>
        <v>9.2196653789920884</v>
      </c>
      <c r="Q45">
        <v>45</v>
      </c>
      <c r="S45">
        <f t="shared" si="20"/>
        <v>8.5295556992999995</v>
      </c>
      <c r="T45">
        <f t="shared" si="21"/>
        <v>-8.2645298654415971</v>
      </c>
      <c r="U45">
        <v>45</v>
      </c>
      <c r="W45">
        <f t="shared" si="22"/>
        <v>7.9858779944</v>
      </c>
      <c r="X45">
        <f t="shared" si="23"/>
        <v>15.580191901345119</v>
      </c>
    </row>
    <row r="46" spans="1:24">
      <c r="A46">
        <v>46</v>
      </c>
      <c r="C46">
        <f t="shared" si="12"/>
        <v>512408.55018691695</v>
      </c>
      <c r="D46">
        <f t="shared" si="13"/>
        <v>7.0922926376618225</v>
      </c>
      <c r="E46">
        <v>46</v>
      </c>
      <c r="G46">
        <f t="shared" si="14"/>
        <v>512408.55018691695</v>
      </c>
      <c r="H46">
        <f t="shared" si="15"/>
        <v>8.0396601834374106</v>
      </c>
      <c r="I46">
        <v>46</v>
      </c>
      <c r="K46">
        <f t="shared" si="16"/>
        <v>436670.77942134347</v>
      </c>
      <c r="L46">
        <f t="shared" si="17"/>
        <v>5.8781018697531273</v>
      </c>
      <c r="M46">
        <v>46</v>
      </c>
      <c r="O46">
        <f t="shared" si="18"/>
        <v>436670.77942134347</v>
      </c>
      <c r="P46">
        <f t="shared" si="19"/>
        <v>9.2198747200210676</v>
      </c>
      <c r="Q46">
        <v>46</v>
      </c>
      <c r="S46">
        <f t="shared" si="20"/>
        <v>8.552631655599999</v>
      </c>
      <c r="T46">
        <f t="shared" si="21"/>
        <v>-8.6343743295334292</v>
      </c>
      <c r="U46">
        <v>46</v>
      </c>
      <c r="W46">
        <f t="shared" si="22"/>
        <v>8.0307010588000001</v>
      </c>
      <c r="X46">
        <f t="shared" si="23"/>
        <v>16.374882246448358</v>
      </c>
    </row>
    <row r="47" spans="1:24">
      <c r="A47">
        <v>47</v>
      </c>
      <c r="C47">
        <f t="shared" si="12"/>
        <v>517962.65337639255</v>
      </c>
      <c r="D47">
        <f t="shared" si="13"/>
        <v>7.0830953092670708</v>
      </c>
      <c r="E47">
        <v>47</v>
      </c>
      <c r="G47">
        <f t="shared" si="14"/>
        <v>517962.65337639255</v>
      </c>
      <c r="H47">
        <f t="shared" si="15"/>
        <v>8.0513491021293326</v>
      </c>
      <c r="I47">
        <v>47</v>
      </c>
      <c r="K47">
        <f t="shared" si="16"/>
        <v>440541.82103825081</v>
      </c>
      <c r="L47">
        <f t="shared" si="17"/>
        <v>5.8794972121720805</v>
      </c>
      <c r="M47">
        <v>47</v>
      </c>
      <c r="O47">
        <f t="shared" si="18"/>
        <v>440541.82103825081</v>
      </c>
      <c r="P47">
        <f t="shared" si="19"/>
        <v>9.2202159405365069</v>
      </c>
      <c r="Q47">
        <v>47</v>
      </c>
      <c r="S47">
        <f t="shared" si="20"/>
        <v>8.5757076119000004</v>
      </c>
      <c r="T47">
        <f t="shared" si="21"/>
        <v>-9.0043044285209604</v>
      </c>
      <c r="U47">
        <v>47</v>
      </c>
      <c r="W47">
        <f t="shared" si="22"/>
        <v>8.075524123200001</v>
      </c>
      <c r="X47">
        <f t="shared" si="23"/>
        <v>17.172417415908747</v>
      </c>
    </row>
    <row r="48" spans="1:24">
      <c r="A48">
        <v>48</v>
      </c>
      <c r="C48">
        <f t="shared" si="12"/>
        <v>523516.75656586816</v>
      </c>
      <c r="D48">
        <f t="shared" si="13"/>
        <v>7.0732002939749101</v>
      </c>
      <c r="E48">
        <v>48</v>
      </c>
      <c r="G48">
        <f t="shared" si="14"/>
        <v>523516.75656586816</v>
      </c>
      <c r="H48">
        <f t="shared" si="15"/>
        <v>8.0637357077186635</v>
      </c>
      <c r="I48">
        <v>48</v>
      </c>
      <c r="K48">
        <f t="shared" si="16"/>
        <v>444412.8626551581</v>
      </c>
      <c r="L48">
        <f t="shared" si="17"/>
        <v>5.8807605502362819</v>
      </c>
      <c r="M48">
        <v>48</v>
      </c>
      <c r="O48">
        <f t="shared" si="18"/>
        <v>444412.8626551581</v>
      </c>
      <c r="P48">
        <f t="shared" si="19"/>
        <v>9.2206891654066965</v>
      </c>
      <c r="Q48">
        <v>48</v>
      </c>
      <c r="S48">
        <f t="shared" si="20"/>
        <v>8.5987835682</v>
      </c>
      <c r="T48">
        <f t="shared" si="21"/>
        <v>-9.3743145448371923</v>
      </c>
      <c r="U48">
        <v>48</v>
      </c>
      <c r="W48">
        <f t="shared" si="22"/>
        <v>8.1203471876000002</v>
      </c>
      <c r="X48">
        <f t="shared" si="23"/>
        <v>17.972145367480316</v>
      </c>
    </row>
    <row r="49" spans="1:24">
      <c r="A49">
        <v>49</v>
      </c>
      <c r="C49">
        <f t="shared" si="12"/>
        <v>529070.85975534376</v>
      </c>
      <c r="D49">
        <f t="shared" si="13"/>
        <v>7.0626535771224255</v>
      </c>
      <c r="E49">
        <v>49</v>
      </c>
      <c r="G49">
        <f t="shared" si="14"/>
        <v>529070.85975534376</v>
      </c>
      <c r="H49">
        <f t="shared" si="15"/>
        <v>8.0767740148683167</v>
      </c>
      <c r="I49">
        <v>49</v>
      </c>
      <c r="K49">
        <f t="shared" si="16"/>
        <v>448283.90427206538</v>
      </c>
      <c r="L49">
        <f t="shared" si="17"/>
        <v>5.8818917902477921</v>
      </c>
      <c r="M49">
        <v>49</v>
      </c>
      <c r="O49">
        <f t="shared" si="18"/>
        <v>448283.90427206538</v>
      </c>
      <c r="P49">
        <f t="shared" si="19"/>
        <v>9.2212944883295762</v>
      </c>
      <c r="Q49">
        <v>49</v>
      </c>
      <c r="S49">
        <f t="shared" si="20"/>
        <v>8.6218595244999996</v>
      </c>
      <c r="T49">
        <f t="shared" si="21"/>
        <v>-9.744399540741302</v>
      </c>
      <c r="U49">
        <v>49</v>
      </c>
      <c r="W49">
        <f t="shared" si="22"/>
        <v>8.1651702519999994</v>
      </c>
      <c r="X49">
        <f t="shared" si="23"/>
        <v>18.773597990680052</v>
      </c>
    </row>
    <row r="50" spans="1:24">
      <c r="A50">
        <v>50</v>
      </c>
      <c r="C50">
        <f t="shared" si="12"/>
        <v>534624.96294481936</v>
      </c>
      <c r="D50">
        <f t="shared" si="13"/>
        <v>7.05149954058367</v>
      </c>
      <c r="E50">
        <v>50</v>
      </c>
      <c r="G50">
        <f t="shared" si="14"/>
        <v>534624.96294481936</v>
      </c>
      <c r="H50">
        <f t="shared" si="15"/>
        <v>8.0904196417042424</v>
      </c>
      <c r="I50">
        <v>50</v>
      </c>
      <c r="K50">
        <f t="shared" si="16"/>
        <v>452154.94588897272</v>
      </c>
      <c r="L50">
        <f t="shared" si="17"/>
        <v>5.8828908697899998</v>
      </c>
      <c r="M50">
        <v>50</v>
      </c>
      <c r="O50">
        <f t="shared" si="18"/>
        <v>452154.94588897272</v>
      </c>
      <c r="P50">
        <f t="shared" si="19"/>
        <v>9.2220319717217603</v>
      </c>
      <c r="Q50">
        <v>50</v>
      </c>
      <c r="S50">
        <f t="shared" si="20"/>
        <v>8.6449354807999992</v>
      </c>
      <c r="T50">
        <f t="shared" si="21"/>
        <v>-10.114554708259989</v>
      </c>
      <c r="U50">
        <v>50</v>
      </c>
      <c r="W50">
        <f t="shared" si="22"/>
        <v>8.2099933164000003</v>
      </c>
      <c r="X50">
        <f t="shared" si="23"/>
        <v>19.576430872118149</v>
      </c>
    </row>
    <row r="51" spans="1:24">
      <c r="A51">
        <v>51</v>
      </c>
      <c r="C51">
        <f t="shared" si="12"/>
        <v>540179.06613429496</v>
      </c>
      <c r="D51">
        <f t="shared" si="13"/>
        <v>7.0397806149266922</v>
      </c>
      <c r="E51">
        <v>51</v>
      </c>
      <c r="G51">
        <f t="shared" si="14"/>
        <v>540179.06613429496</v>
      </c>
      <c r="H51">
        <f t="shared" si="15"/>
        <v>8.1046301576583879</v>
      </c>
      <c r="I51">
        <v>51</v>
      </c>
      <c r="K51">
        <f t="shared" si="16"/>
        <v>456025.98750588001</v>
      </c>
      <c r="L51">
        <f t="shared" si="17"/>
        <v>5.8837577578016447</v>
      </c>
      <c r="M51">
        <v>51</v>
      </c>
      <c r="O51">
        <f t="shared" si="18"/>
        <v>456025.98750588001</v>
      </c>
      <c r="P51">
        <f t="shared" si="19"/>
        <v>9.2229016466445053</v>
      </c>
      <c r="Q51">
        <v>51</v>
      </c>
      <c r="S51">
        <f t="shared" si="20"/>
        <v>8.6680114370999988</v>
      </c>
      <c r="T51">
        <f t="shared" si="21"/>
        <v>-10.484775725255773</v>
      </c>
      <c r="U51">
        <v>51</v>
      </c>
      <c r="W51">
        <f t="shared" si="22"/>
        <v>8.2548163808000012</v>
      </c>
      <c r="X51">
        <f t="shared" si="23"/>
        <v>20.380385160895358</v>
      </c>
    </row>
    <row r="52" spans="1:24">
      <c r="A52">
        <v>52</v>
      </c>
      <c r="C52">
        <f t="shared" si="12"/>
        <v>545733.16932377056</v>
      </c>
      <c r="D52">
        <f t="shared" si="13"/>
        <v>7.0275370447207806</v>
      </c>
      <c r="E52">
        <v>52</v>
      </c>
      <c r="G52">
        <f t="shared" si="14"/>
        <v>545733.16932377056</v>
      </c>
      <c r="H52">
        <f t="shared" si="15"/>
        <v>8.1193653181614707</v>
      </c>
      <c r="I52">
        <v>52</v>
      </c>
      <c r="K52">
        <f t="shared" si="16"/>
        <v>459897.02912278729</v>
      </c>
      <c r="L52">
        <f t="shared" si="17"/>
        <v>5.8844924546136923</v>
      </c>
      <c r="M52">
        <v>52</v>
      </c>
      <c r="O52">
        <f t="shared" si="18"/>
        <v>459897.02912278729</v>
      </c>
      <c r="P52">
        <f t="shared" si="19"/>
        <v>9.2239035127668494</v>
      </c>
      <c r="Q52">
        <v>52</v>
      </c>
      <c r="S52">
        <f t="shared" si="20"/>
        <v>8.6910873934000001</v>
      </c>
      <c r="T52">
        <f t="shared" si="21"/>
        <v>-10.855058616766446</v>
      </c>
      <c r="U52">
        <v>52</v>
      </c>
      <c r="W52">
        <f t="shared" si="22"/>
        <v>8.2996394452000004</v>
      </c>
      <c r="X52">
        <f t="shared" si="23"/>
        <v>21.185262661992635</v>
      </c>
    </row>
    <row r="53" spans="1:24">
      <c r="A53">
        <v>53</v>
      </c>
      <c r="C53">
        <f t="shared" si="12"/>
        <v>551287.27251324616</v>
      </c>
      <c r="D53">
        <f t="shared" si="13"/>
        <v>7.0148067492687396</v>
      </c>
      <c r="E53">
        <v>53</v>
      </c>
      <c r="G53">
        <f t="shared" si="14"/>
        <v>551287.27251324616</v>
      </c>
      <c r="H53">
        <f t="shared" si="15"/>
        <v>8.1345872039106819</v>
      </c>
      <c r="I53">
        <v>53</v>
      </c>
      <c r="K53">
        <f t="shared" si="16"/>
        <v>463768.07073969464</v>
      </c>
      <c r="L53">
        <f t="shared" si="17"/>
        <v>5.8850949919489288</v>
      </c>
      <c r="M53">
        <v>53</v>
      </c>
      <c r="O53">
        <f t="shared" si="18"/>
        <v>463768.07073969464</v>
      </c>
      <c r="P53">
        <f t="shared" si="19"/>
        <v>9.2250375383660028</v>
      </c>
      <c r="Q53">
        <v>53</v>
      </c>
      <c r="S53">
        <f t="shared" si="20"/>
        <v>8.7141633496999997</v>
      </c>
      <c r="T53">
        <f t="shared" si="21"/>
        <v>-11.225399720893412</v>
      </c>
      <c r="U53">
        <v>53</v>
      </c>
      <c r="W53">
        <f t="shared" si="22"/>
        <v>8.3444625095999996</v>
      </c>
      <c r="X53">
        <f t="shared" si="23"/>
        <v>21.990909118186686</v>
      </c>
    </row>
    <row r="54" spans="1:24">
      <c r="A54">
        <v>54</v>
      </c>
      <c r="C54">
        <f t="shared" si="12"/>
        <v>556841.37570272177</v>
      </c>
      <c r="D54">
        <f t="shared" si="13"/>
        <v>7.001625261036069</v>
      </c>
      <c r="E54">
        <v>54</v>
      </c>
      <c r="G54">
        <f t="shared" si="14"/>
        <v>556841.37570272177</v>
      </c>
      <c r="H54">
        <f t="shared" si="15"/>
        <v>8.1502602824405201</v>
      </c>
      <c r="I54">
        <v>54</v>
      </c>
      <c r="K54">
        <f t="shared" si="16"/>
        <v>467639.11235660187</v>
      </c>
      <c r="L54">
        <f t="shared" si="17"/>
        <v>5.8855654328843201</v>
      </c>
      <c r="M54">
        <v>54</v>
      </c>
      <c r="O54">
        <f t="shared" si="18"/>
        <v>467639.11235660187</v>
      </c>
      <c r="P54">
        <f t="shared" si="19"/>
        <v>9.2263036603650033</v>
      </c>
      <c r="Q54">
        <v>54</v>
      </c>
      <c r="S54">
        <f t="shared" si="20"/>
        <v>8.7372393059999993</v>
      </c>
      <c r="T54">
        <f t="shared" si="21"/>
        <v>-11.595795658627928</v>
      </c>
      <c r="U54">
        <v>54</v>
      </c>
      <c r="W54">
        <f t="shared" si="22"/>
        <v>8.3892855740000005</v>
      </c>
      <c r="X54">
        <f t="shared" si="23"/>
        <v>22.797202713837017</v>
      </c>
    </row>
    <row r="55" spans="1:24">
      <c r="A55">
        <v>55</v>
      </c>
      <c r="C55">
        <f t="shared" si="12"/>
        <v>562395.47889219737</v>
      </c>
      <c r="D55">
        <f t="shared" si="13"/>
        <v>6.9880257252037525</v>
      </c>
      <c r="E55">
        <v>55</v>
      </c>
      <c r="G55">
        <f t="shared" si="14"/>
        <v>562395.47889219737</v>
      </c>
      <c r="H55">
        <f t="shared" si="15"/>
        <v>8.1663514085700069</v>
      </c>
      <c r="I55">
        <v>55</v>
      </c>
      <c r="K55">
        <f t="shared" si="16"/>
        <v>471510.15397350921</v>
      </c>
      <c r="L55">
        <f t="shared" si="17"/>
        <v>5.8859038717762022</v>
      </c>
      <c r="M55">
        <v>55</v>
      </c>
      <c r="O55">
        <f t="shared" si="18"/>
        <v>471510.15397350921</v>
      </c>
      <c r="P55">
        <f t="shared" si="19"/>
        <v>9.2277017844075111</v>
      </c>
      <c r="Q55">
        <v>55</v>
      </c>
      <c r="S55">
        <f t="shared" si="20"/>
        <v>8.7603152623000007</v>
      </c>
      <c r="T55">
        <f t="shared" si="21"/>
        <v>-11.966243307095322</v>
      </c>
      <c r="U55">
        <v>55</v>
      </c>
      <c r="W55">
        <f t="shared" si="22"/>
        <v>8.4341086383999997</v>
      </c>
      <c r="X55">
        <f t="shared" si="23"/>
        <v>23.604045997774634</v>
      </c>
    </row>
    <row r="56" spans="1:24">
      <c r="A56">
        <v>56</v>
      </c>
      <c r="C56">
        <f t="shared" si="12"/>
        <v>567949.58208167297</v>
      </c>
      <c r="D56">
        <f t="shared" si="13"/>
        <v>6.9740389455965746</v>
      </c>
      <c r="E56">
        <v>56</v>
      </c>
      <c r="G56">
        <f t="shared" si="14"/>
        <v>567949.58208167297</v>
      </c>
      <c r="H56">
        <f t="shared" si="15"/>
        <v>8.1828297784743533</v>
      </c>
      <c r="I56">
        <v>56</v>
      </c>
      <c r="K56">
        <f t="shared" si="16"/>
        <v>475381.19559041649</v>
      </c>
      <c r="L56">
        <f t="shared" si="17"/>
        <v>5.8861104341485255</v>
      </c>
      <c r="M56">
        <v>56</v>
      </c>
      <c r="O56">
        <f t="shared" si="18"/>
        <v>475381.19559041649</v>
      </c>
      <c r="P56">
        <f t="shared" si="19"/>
        <v>9.2292317849695795</v>
      </c>
      <c r="Q56">
        <v>56</v>
      </c>
      <c r="S56">
        <f t="shared" si="20"/>
        <v>8.7833912186000003</v>
      </c>
      <c r="T56">
        <f t="shared" si="21"/>
        <v>-12.336739775774744</v>
      </c>
      <c r="U56">
        <v>56</v>
      </c>
      <c r="W56">
        <f t="shared" si="22"/>
        <v>8.4789317028000006</v>
      </c>
      <c r="X56">
        <f t="shared" si="23"/>
        <v>24.411360098303049</v>
      </c>
    </row>
    <row r="57" spans="1:24">
      <c r="A57">
        <v>57</v>
      </c>
      <c r="C57">
        <f t="shared" si="12"/>
        <v>573503.68527114857</v>
      </c>
      <c r="D57">
        <f t="shared" si="13"/>
        <v>6.9596934643624992</v>
      </c>
      <c r="E57">
        <v>57</v>
      </c>
      <c r="G57">
        <f t="shared" si="14"/>
        <v>573503.68527114857</v>
      </c>
      <c r="H57">
        <f t="shared" si="15"/>
        <v>8.1996668500056007</v>
      </c>
      <c r="I57">
        <v>57</v>
      </c>
      <c r="K57">
        <f t="shared" si="16"/>
        <v>479252.23720732378</v>
      </c>
      <c r="L57">
        <f t="shared" si="17"/>
        <v>5.886185276544464</v>
      </c>
      <c r="M57">
        <v>57</v>
      </c>
      <c r="O57">
        <f t="shared" si="18"/>
        <v>479252.23720732378</v>
      </c>
      <c r="P57">
        <f t="shared" si="19"/>
        <v>9.2308935055080319</v>
      </c>
      <c r="Q57">
        <v>57</v>
      </c>
      <c r="S57">
        <f t="shared" si="20"/>
        <v>8.8064671748999999</v>
      </c>
      <c r="T57">
        <f t="shared" si="21"/>
        <v>-12.707282385316251</v>
      </c>
      <c r="U57">
        <v>57</v>
      </c>
      <c r="W57">
        <f t="shared" si="22"/>
        <v>8.5237547671999998</v>
      </c>
      <c r="X57">
        <f t="shared" si="23"/>
        <v>25.219080507653587</v>
      </c>
    </row>
    <row r="58" spans="1:24">
      <c r="A58">
        <v>58</v>
      </c>
      <c r="C58">
        <f t="shared" si="12"/>
        <v>579057.78846062417</v>
      </c>
      <c r="D58">
        <f t="shared" si="13"/>
        <v>6.9450156649409838</v>
      </c>
      <c r="E58">
        <v>58</v>
      </c>
      <c r="G58">
        <f t="shared" si="14"/>
        <v>579057.78846062417</v>
      </c>
      <c r="H58">
        <f t="shared" si="15"/>
        <v>8.2168362397242856</v>
      </c>
      <c r="I58">
        <v>58</v>
      </c>
      <c r="K58">
        <f t="shared" si="16"/>
        <v>483123.27882423112</v>
      </c>
      <c r="L58">
        <f t="shared" si="17"/>
        <v>5.8861285863417905</v>
      </c>
      <c r="M58">
        <v>58</v>
      </c>
      <c r="O58">
        <f t="shared" si="18"/>
        <v>483123.27882423112</v>
      </c>
      <c r="P58">
        <f t="shared" si="19"/>
        <v>9.2326867586450962</v>
      </c>
      <c r="Q58">
        <v>58</v>
      </c>
      <c r="S58">
        <f t="shared" si="20"/>
        <v>8.8295431311999995</v>
      </c>
      <c r="T58">
        <f t="shared" si="21"/>
        <v>-13.077868648630217</v>
      </c>
      <c r="U58">
        <v>58</v>
      </c>
      <c r="W58">
        <f t="shared" si="22"/>
        <v>8.5685778316000007</v>
      </c>
      <c r="X58">
        <f t="shared" si="23"/>
        <v>26.027153961783497</v>
      </c>
    </row>
    <row r="59" spans="1:24">
      <c r="A59">
        <v>59</v>
      </c>
      <c r="C59">
        <f t="shared" si="12"/>
        <v>584611.89165009977</v>
      </c>
      <c r="D59">
        <f t="shared" si="13"/>
        <v>6.9300298898946</v>
      </c>
      <c r="E59">
        <v>59</v>
      </c>
      <c r="G59">
        <f t="shared" si="14"/>
        <v>584611.89165009977</v>
      </c>
      <c r="H59">
        <f t="shared" si="15"/>
        <v>8.2343136050678378</v>
      </c>
      <c r="I59">
        <v>59</v>
      </c>
      <c r="K59">
        <f t="shared" si="16"/>
        <v>486994.32044113841</v>
      </c>
      <c r="L59">
        <f t="shared" si="17"/>
        <v>5.8859405815325303</v>
      </c>
      <c r="M59">
        <v>59</v>
      </c>
      <c r="O59">
        <f t="shared" si="18"/>
        <v>486994.32044113841</v>
      </c>
      <c r="P59">
        <f t="shared" si="19"/>
        <v>9.2346113263887482</v>
      </c>
      <c r="Q59">
        <v>59</v>
      </c>
      <c r="S59">
        <f t="shared" si="20"/>
        <v>8.852619087499999</v>
      </c>
      <c r="T59">
        <f t="shared" si="21"/>
        <v>-13.448496253970365</v>
      </c>
      <c r="U59">
        <v>59</v>
      </c>
      <c r="W59">
        <f t="shared" si="22"/>
        <v>8.6134008959999999</v>
      </c>
      <c r="X59">
        <f t="shared" si="23"/>
        <v>26.835536097960066</v>
      </c>
    </row>
    <row r="60" spans="1:24">
      <c r="A60">
        <v>60</v>
      </c>
      <c r="C60">
        <f t="shared" si="12"/>
        <v>590165.99483957537</v>
      </c>
      <c r="D60">
        <f t="shared" si="13"/>
        <v>6.9147585669973948</v>
      </c>
      <c r="E60">
        <v>60</v>
      </c>
      <c r="G60">
        <f t="shared" si="14"/>
        <v>590165.99483957537</v>
      </c>
      <c r="H60">
        <f t="shared" si="15"/>
        <v>8.2520765182622142</v>
      </c>
      <c r="I60">
        <v>60</v>
      </c>
      <c r="K60">
        <f t="shared" si="16"/>
        <v>490865.36205804569</v>
      </c>
      <c r="L60">
        <f t="shared" si="17"/>
        <v>5.88562151046749</v>
      </c>
      <c r="M60">
        <v>60</v>
      </c>
      <c r="O60">
        <f t="shared" si="18"/>
        <v>490865.36205804569</v>
      </c>
      <c r="P60">
        <f t="shared" si="19"/>
        <v>9.2366669603881775</v>
      </c>
      <c r="Q60">
        <v>60</v>
      </c>
      <c r="S60">
        <f t="shared" si="20"/>
        <v>8.8756950438000004</v>
      </c>
      <c r="T60">
        <f t="shared" si="21"/>
        <v>-13.819163049769777</v>
      </c>
      <c r="U60">
        <v>60</v>
      </c>
      <c r="W60">
        <f t="shared" si="22"/>
        <v>8.6582239604000009</v>
      </c>
      <c r="X60">
        <f t="shared" si="23"/>
        <v>27.644189673398444</v>
      </c>
    </row>
    <row r="61" spans="1:24">
      <c r="A61">
        <v>61</v>
      </c>
      <c r="C61">
        <f t="shared" si="12"/>
        <v>595720.09802905098</v>
      </c>
      <c r="D61">
        <f t="shared" si="13"/>
        <v>6.8992223385360729</v>
      </c>
      <c r="E61">
        <v>61</v>
      </c>
      <c r="G61">
        <f t="shared" si="14"/>
        <v>595720.09802905098</v>
      </c>
      <c r="H61">
        <f t="shared" si="15"/>
        <v>8.2701043370207046</v>
      </c>
      <c r="I61">
        <v>61</v>
      </c>
      <c r="K61">
        <f t="shared" si="16"/>
        <v>494736.40367495304</v>
      </c>
      <c r="L61">
        <f t="shared" si="17"/>
        <v>5.8851716515663597</v>
      </c>
      <c r="M61">
        <v>61</v>
      </c>
      <c r="O61">
        <f t="shared" si="18"/>
        <v>494736.40367495304</v>
      </c>
      <c r="P61">
        <f t="shared" si="19"/>
        <v>9.2388533822237005</v>
      </c>
      <c r="Q61">
        <v>61</v>
      </c>
      <c r="S61">
        <f t="shared" si="20"/>
        <v>8.8987710001</v>
      </c>
      <c r="T61">
        <f t="shared" si="21"/>
        <v>-14.189867031021615</v>
      </c>
      <c r="U61">
        <v>61</v>
      </c>
      <c r="W61">
        <f t="shared" si="22"/>
        <v>8.7030470248</v>
      </c>
      <c r="X61">
        <f t="shared" si="23"/>
        <v>28.453083194471464</v>
      </c>
    </row>
    <row r="62" spans="1:24">
      <c r="A62">
        <v>62</v>
      </c>
      <c r="C62">
        <f t="shared" si="12"/>
        <v>601274.20121852658</v>
      </c>
      <c r="D62">
        <f t="shared" si="13"/>
        <v>6.883440190081747</v>
      </c>
      <c r="E62">
        <v>62</v>
      </c>
      <c r="G62">
        <f t="shared" si="14"/>
        <v>601274.20121852658</v>
      </c>
      <c r="H62">
        <f t="shared" si="15"/>
        <v>8.288378075772199</v>
      </c>
      <c r="I62">
        <v>62</v>
      </c>
      <c r="K62">
        <f t="shared" si="16"/>
        <v>498607.44529186026</v>
      </c>
      <c r="L62">
        <f t="shared" si="17"/>
        <v>5.8845913129941696</v>
      </c>
      <c r="M62">
        <v>62</v>
      </c>
      <c r="O62">
        <f t="shared" si="18"/>
        <v>498607.44529186026</v>
      </c>
      <c r="P62">
        <f t="shared" si="19"/>
        <v>9.2411702837302805</v>
      </c>
      <c r="Q62">
        <v>62</v>
      </c>
      <c r="S62">
        <f t="shared" si="20"/>
        <v>8.9218469563999996</v>
      </c>
      <c r="T62">
        <f t="shared" si="21"/>
        <v>-14.560606327024704</v>
      </c>
      <c r="U62">
        <v>62</v>
      </c>
      <c r="W62">
        <f t="shared" si="22"/>
        <v>8.7478700891999992</v>
      </c>
      <c r="X62">
        <f t="shared" si="23"/>
        <v>29.262189850358286</v>
      </c>
    </row>
    <row r="63" spans="1:24">
      <c r="A63">
        <v>63</v>
      </c>
      <c r="C63">
        <f t="shared" si="12"/>
        <v>606828.30440800218</v>
      </c>
      <c r="D63">
        <f t="shared" si="13"/>
        <v>6.8674295760466482</v>
      </c>
      <c r="E63">
        <v>63</v>
      </c>
      <c r="G63">
        <f t="shared" si="14"/>
        <v>606828.30440800218</v>
      </c>
      <c r="H63">
        <f t="shared" si="15"/>
        <v>8.306880280104469</v>
      </c>
      <c r="I63">
        <v>63</v>
      </c>
      <c r="K63">
        <f t="shared" si="16"/>
        <v>502478.48690876761</v>
      </c>
      <c r="L63">
        <f t="shared" si="17"/>
        <v>5.8838808323049774</v>
      </c>
      <c r="M63">
        <v>63</v>
      </c>
      <c r="O63">
        <f t="shared" si="18"/>
        <v>502478.48690876761</v>
      </c>
      <c r="P63">
        <f t="shared" si="19"/>
        <v>9.2436173273538635</v>
      </c>
      <c r="Q63">
        <v>63</v>
      </c>
      <c r="S63">
        <f t="shared" si="20"/>
        <v>8.9449229126999992</v>
      </c>
      <c r="T63">
        <f t="shared" si="21"/>
        <v>-14.93137919033669</v>
      </c>
      <c r="U63">
        <v>63</v>
      </c>
      <c r="W63">
        <f t="shared" si="22"/>
        <v>8.7926931536000001</v>
      </c>
      <c r="X63">
        <f t="shared" si="23"/>
        <v>30.071486675186421</v>
      </c>
    </row>
    <row r="64" spans="1:24">
      <c r="A64">
        <v>64</v>
      </c>
      <c r="C64">
        <f t="shared" si="12"/>
        <v>612382.40759747778</v>
      </c>
      <c r="D64">
        <f t="shared" si="13"/>
        <v>6.8512065401790965</v>
      </c>
      <c r="E64">
        <v>64</v>
      </c>
      <c r="G64">
        <f t="shared" si="14"/>
        <v>612382.40759747778</v>
      </c>
      <c r="H64">
        <f t="shared" si="15"/>
        <v>8.3255949062691883</v>
      </c>
      <c r="I64">
        <v>64</v>
      </c>
      <c r="K64">
        <f t="shared" si="16"/>
        <v>506349.52852567489</v>
      </c>
      <c r="L64">
        <f t="shared" si="17"/>
        <v>5.8830405760537241</v>
      </c>
      <c r="M64">
        <v>64</v>
      </c>
      <c r="O64">
        <f t="shared" si="18"/>
        <v>506349.52852567489</v>
      </c>
      <c r="P64">
        <f t="shared" si="19"/>
        <v>9.2461941465395086</v>
      </c>
      <c r="Q64">
        <v>64</v>
      </c>
      <c r="S64">
        <f t="shared" si="20"/>
        <v>8.9679988689999988</v>
      </c>
      <c r="T64">
        <f t="shared" si="21"/>
        <v>-15.302183986798742</v>
      </c>
      <c r="U64">
        <v>64</v>
      </c>
      <c r="W64">
        <f t="shared" si="22"/>
        <v>8.8375162180000011</v>
      </c>
      <c r="X64">
        <f t="shared" si="23"/>
        <v>30.88095388359806</v>
      </c>
    </row>
    <row r="65" spans="1:24">
      <c r="A65">
        <v>65</v>
      </c>
      <c r="C65">
        <f t="shared" ref="C65:C70" si="24">262473.906660515+(A65-1)*5554.1031894756</f>
        <v>617936.51078695338</v>
      </c>
      <c r="D65">
        <f t="shared" ref="D65:D70" si="25">7.45104226832377+2.24301765034798E-07*C65-1.61653940236522*(0.0666666666666667+(C65-454049.662891246)^2/177420185700.09)^0.5</f>
        <v>6.8347858298022937</v>
      </c>
      <c r="E65">
        <v>65</v>
      </c>
      <c r="G65">
        <f t="shared" ref="G65:G70" si="26">262473.906660515+(E65-1)*5554.1031894756</f>
        <v>617936.51078695338</v>
      </c>
      <c r="H65">
        <f t="shared" ref="H65:H70" si="27">7.45104226832377+2.24301765034798E-07*G65+1.61653940236522*(0.0666666666666667+(G65-454049.662891246)^2/177420185700.09)^0.5</f>
        <v>8.3445072069431632</v>
      </c>
      <c r="I65">
        <v>65</v>
      </c>
      <c r="K65">
        <f t="shared" ref="K65:K100" si="28">262473.906660515+(I65-1)*3871.0416169073</f>
        <v>510220.57014258218</v>
      </c>
      <c r="L65">
        <f t="shared" ref="L65:L96" si="29">7.45104226832377+2.24301765034798E-07*K65-1.61653940236522*(1.06666666666667+(K65-454049.662891246)^2/177420185700.09)^0.5</f>
        <v>5.8820709393773001</v>
      </c>
      <c r="M65">
        <v>65</v>
      </c>
      <c r="O65">
        <f t="shared" ref="O65:O100" si="30">262473.906660515+(M65-1)*3871.0416169073</f>
        <v>510220.57014258218</v>
      </c>
      <c r="P65">
        <f t="shared" ref="P65:P96" si="31">7.45104226832377+2.24301765034798E-07*O65+1.61653940236522*(1.06666666666667+(O65-454049.662891246)^2/177420185700.09)^0.5</f>
        <v>9.2489003461503234</v>
      </c>
      <c r="Q65">
        <v>65</v>
      </c>
      <c r="S65">
        <f t="shared" ref="S65:S70" si="32">7.5142136221+(Q65-1)*0.0230759563</f>
        <v>8.9910748253000001</v>
      </c>
      <c r="T65">
        <f t="shared" ref="T65:T70" si="33">0+1*S65-1.61653940236522*(1.06666666666667+(S65-7.55288640912374)^2/0.00892623695936221)^0.5</f>
        <v>-15.673019186512473</v>
      </c>
      <c r="U65">
        <v>65</v>
      </c>
      <c r="W65">
        <f t="shared" ref="W65:W70" si="34">6.0136631608+(U65-1)*0.0448230644</f>
        <v>8.8823392824000003</v>
      </c>
      <c r="X65">
        <f t="shared" ref="X65:X70" si="35">0+1*W65+1.61653940236522*(1.06666666666667+(W65-7.55288640912374)^2/0.00892623695936221)^0.5</f>
        <v>31.690574339314079</v>
      </c>
    </row>
    <row r="66" spans="1:24">
      <c r="A66">
        <v>66</v>
      </c>
      <c r="C66">
        <f t="shared" si="24"/>
        <v>623490.61397642898</v>
      </c>
      <c r="D66">
        <f t="shared" si="25"/>
        <v>6.8181810030994496</v>
      </c>
      <c r="E66">
        <v>66</v>
      </c>
      <c r="G66">
        <f t="shared" si="26"/>
        <v>623490.61397642898</v>
      </c>
      <c r="H66">
        <f t="shared" si="27"/>
        <v>8.3636036239431757</v>
      </c>
      <c r="I66">
        <v>66</v>
      </c>
      <c r="K66">
        <f t="shared" si="28"/>
        <v>514091.61175948952</v>
      </c>
      <c r="L66">
        <f t="shared" si="29"/>
        <v>5.8809723455459091</v>
      </c>
      <c r="M66">
        <v>66</v>
      </c>
      <c r="O66">
        <f t="shared" si="30"/>
        <v>514091.61175948952</v>
      </c>
      <c r="P66">
        <f t="shared" si="31"/>
        <v>9.251735502916107</v>
      </c>
      <c r="Q66">
        <v>66</v>
      </c>
      <c r="S66">
        <f t="shared" si="32"/>
        <v>9.0141507815999997</v>
      </c>
      <c r="T66">
        <f t="shared" si="33"/>
        <v>-16.043883355664668</v>
      </c>
      <c r="U66">
        <v>66</v>
      </c>
      <c r="W66">
        <f t="shared" si="34"/>
        <v>8.9271623467999994</v>
      </c>
      <c r="X66">
        <f t="shared" si="35"/>
        <v>32.500333126678569</v>
      </c>
    </row>
    <row r="67" spans="1:24">
      <c r="A67">
        <v>67</v>
      </c>
      <c r="C67">
        <f t="shared" si="24"/>
        <v>629044.71716590459</v>
      </c>
      <c r="D67">
        <f t="shared" si="25"/>
        <v>6.801404529118618</v>
      </c>
      <c r="E67">
        <v>67</v>
      </c>
      <c r="G67">
        <f t="shared" si="26"/>
        <v>629044.71716590459</v>
      </c>
      <c r="H67">
        <f t="shared" si="27"/>
        <v>8.3828716882211758</v>
      </c>
      <c r="I67">
        <v>67</v>
      </c>
      <c r="K67">
        <f t="shared" si="28"/>
        <v>517962.6533763968</v>
      </c>
      <c r="L67">
        <f t="shared" si="29"/>
        <v>5.8797452454858981</v>
      </c>
      <c r="M67">
        <v>67</v>
      </c>
      <c r="O67">
        <f t="shared" si="30"/>
        <v>517962.6533763968</v>
      </c>
      <c r="P67">
        <f t="shared" si="31"/>
        <v>9.2546991659105071</v>
      </c>
      <c r="Q67">
        <v>67</v>
      </c>
      <c r="S67">
        <f t="shared" si="32"/>
        <v>9.0372267378999993</v>
      </c>
      <c r="T67">
        <f t="shared" si="33"/>
        <v>-16.414775149108841</v>
      </c>
      <c r="U67">
        <v>67</v>
      </c>
      <c r="W67">
        <f t="shared" si="34"/>
        <v>8.9719854112000004</v>
      </c>
      <c r="X67">
        <f t="shared" si="35"/>
        <v>33.310217202658038</v>
      </c>
    </row>
    <row r="68" spans="1:24">
      <c r="A68">
        <v>68</v>
      </c>
      <c r="C68">
        <f t="shared" si="24"/>
        <v>634598.82035538019</v>
      </c>
      <c r="D68">
        <f t="shared" si="25"/>
        <v>6.7844678804406851</v>
      </c>
      <c r="E68">
        <v>68</v>
      </c>
      <c r="G68">
        <f t="shared" si="26"/>
        <v>634598.82035538019</v>
      </c>
      <c r="H68">
        <f t="shared" si="27"/>
        <v>8.4022999271962799</v>
      </c>
      <c r="I68">
        <v>68</v>
      </c>
      <c r="K68">
        <f t="shared" si="28"/>
        <v>521833.69499330409</v>
      </c>
      <c r="L68">
        <f t="shared" si="29"/>
        <v>5.8783901172752975</v>
      </c>
      <c r="M68">
        <v>68</v>
      </c>
      <c r="O68">
        <f t="shared" si="30"/>
        <v>521833.69499330409</v>
      </c>
      <c r="P68">
        <f t="shared" si="31"/>
        <v>9.2577908570554985</v>
      </c>
      <c r="Q68">
        <v>68</v>
      </c>
      <c r="S68">
        <f t="shared" si="32"/>
        <v>9.0603026942000007</v>
      </c>
      <c r="T68">
        <f t="shared" si="33"/>
        <v>-16.785693303622672</v>
      </c>
      <c r="U68">
        <v>68</v>
      </c>
      <c r="W68">
        <f t="shared" si="34"/>
        <v>9.0168084756000013</v>
      </c>
      <c r="X68">
        <f t="shared" si="35"/>
        <v>34.120215112223967</v>
      </c>
    </row>
    <row r="69" spans="1:24">
      <c r="A69">
        <v>69</v>
      </c>
      <c r="C69">
        <f t="shared" si="24"/>
        <v>640152.92354485579</v>
      </c>
      <c r="D69">
        <f t="shared" si="25"/>
        <v>6.7673816186453397</v>
      </c>
      <c r="E69">
        <v>69</v>
      </c>
      <c r="G69">
        <f t="shared" si="26"/>
        <v>640152.92354485579</v>
      </c>
      <c r="H69">
        <f t="shared" si="27"/>
        <v>8.4218777792887938</v>
      </c>
      <c r="I69">
        <v>69</v>
      </c>
      <c r="K69">
        <f t="shared" si="28"/>
        <v>525704.73661021143</v>
      </c>
      <c r="L69">
        <f t="shared" si="29"/>
        <v>5.8769074656133178</v>
      </c>
      <c r="M69">
        <v>69</v>
      </c>
      <c r="O69">
        <f t="shared" si="30"/>
        <v>525704.73661021143</v>
      </c>
      <c r="P69">
        <f t="shared" si="31"/>
        <v>9.2610100716518691</v>
      </c>
      <c r="Q69">
        <v>69</v>
      </c>
      <c r="S69">
        <f t="shared" si="32"/>
        <v>9.0833786505000003</v>
      </c>
      <c r="T69">
        <f t="shared" si="33"/>
        <v>-17.156636631770901</v>
      </c>
      <c r="U69">
        <v>69</v>
      </c>
      <c r="W69">
        <f t="shared" si="34"/>
        <v>9.0616315400000005</v>
      </c>
      <c r="X69">
        <f t="shared" si="35"/>
        <v>34.930316754061266</v>
      </c>
    </row>
    <row r="70" spans="1:24">
      <c r="A70">
        <v>70</v>
      </c>
      <c r="C70">
        <f t="shared" si="24"/>
        <v>645707.02673433139</v>
      </c>
      <c r="D70">
        <f t="shared" si="25"/>
        <v>6.7501554728403592</v>
      </c>
      <c r="E70">
        <v>70</v>
      </c>
      <c r="G70">
        <f t="shared" si="26"/>
        <v>645707.02673433139</v>
      </c>
      <c r="H70">
        <f t="shared" si="27"/>
        <v>8.4415955153909437</v>
      </c>
      <c r="I70">
        <v>70</v>
      </c>
      <c r="K70">
        <f t="shared" si="28"/>
        <v>529575.77822711878</v>
      </c>
      <c r="L70">
        <f t="shared" si="29"/>
        <v>5.8752978212651783</v>
      </c>
      <c r="M70">
        <v>70</v>
      </c>
      <c r="O70">
        <f t="shared" si="30"/>
        <v>529575.77822711878</v>
      </c>
      <c r="P70">
        <f t="shared" si="31"/>
        <v>9.2643562789344003</v>
      </c>
      <c r="Q70">
        <v>70</v>
      </c>
      <c r="S70">
        <f t="shared" si="32"/>
        <v>9.1064546067999999</v>
      </c>
      <c r="T70">
        <f t="shared" si="33"/>
        <v>-17.527604016311454</v>
      </c>
      <c r="U70">
        <v>70</v>
      </c>
      <c r="W70">
        <f t="shared" si="34"/>
        <v>9.1064546043999997</v>
      </c>
      <c r="X70">
        <f t="shared" si="35"/>
        <v>35.740513186528005</v>
      </c>
    </row>
    <row r="71" spans="1:24">
      <c r="I71">
        <v>71</v>
      </c>
      <c r="K71">
        <f t="shared" si="28"/>
        <v>533446.819844026</v>
      </c>
      <c r="L71">
        <f t="shared" si="29"/>
        <v>5.8735617404836207</v>
      </c>
      <c r="M71">
        <v>71</v>
      </c>
      <c r="O71">
        <f t="shared" si="30"/>
        <v>533446.819844026</v>
      </c>
      <c r="P71">
        <f t="shared" si="31"/>
        <v>9.267828922650347</v>
      </c>
    </row>
    <row r="72" spans="1:24">
      <c r="I72">
        <v>72</v>
      </c>
      <c r="K72">
        <f t="shared" si="28"/>
        <v>537317.86146093323</v>
      </c>
      <c r="L72">
        <f t="shared" si="29"/>
        <v>5.8716998044085278</v>
      </c>
      <c r="M72">
        <v>72</v>
      </c>
      <c r="O72">
        <f t="shared" si="30"/>
        <v>537317.86146093323</v>
      </c>
      <c r="P72">
        <f t="shared" si="31"/>
        <v>9.2714274216598334</v>
      </c>
    </row>
    <row r="73" spans="1:24">
      <c r="I73">
        <v>73</v>
      </c>
      <c r="K73">
        <f t="shared" si="28"/>
        <v>541188.90307784057</v>
      </c>
      <c r="L73">
        <f t="shared" si="29"/>
        <v>5.8697126184460977</v>
      </c>
      <c r="M73">
        <v>73</v>
      </c>
      <c r="O73">
        <f t="shared" si="30"/>
        <v>541188.90307784057</v>
      </c>
      <c r="P73">
        <f t="shared" si="31"/>
        <v>9.2751511705566525</v>
      </c>
    </row>
    <row r="74" spans="1:24">
      <c r="I74">
        <v>74</v>
      </c>
      <c r="K74">
        <f t="shared" si="28"/>
        <v>545059.94469474792</v>
      </c>
      <c r="L74">
        <f t="shared" si="29"/>
        <v>5.8676008116290612</v>
      </c>
      <c r="M74">
        <v>74</v>
      </c>
      <c r="O74">
        <f t="shared" si="30"/>
        <v>545059.94469474792</v>
      </c>
      <c r="P74">
        <f t="shared" si="31"/>
        <v>9.2789995403080798</v>
      </c>
    </row>
    <row r="75" spans="1:24">
      <c r="I75">
        <v>75</v>
      </c>
      <c r="K75">
        <f t="shared" si="28"/>
        <v>548930.98631165526</v>
      </c>
      <c r="L75">
        <f t="shared" si="29"/>
        <v>5.8653650359594085</v>
      </c>
      <c r="M75">
        <v>75</v>
      </c>
      <c r="O75">
        <f t="shared" si="30"/>
        <v>548930.98631165526</v>
      </c>
      <c r="P75">
        <f t="shared" si="31"/>
        <v>9.2829718789121252</v>
      </c>
    </row>
    <row r="76" spans="1:24">
      <c r="I76">
        <v>76</v>
      </c>
      <c r="K76">
        <f t="shared" si="28"/>
        <v>552802.02792856249</v>
      </c>
      <c r="L76">
        <f t="shared" si="29"/>
        <v>5.8630059657351676</v>
      </c>
      <c r="M76">
        <v>76</v>
      </c>
      <c r="O76">
        <f t="shared" si="30"/>
        <v>552802.02792856249</v>
      </c>
      <c r="P76">
        <f t="shared" si="31"/>
        <v>9.287067512070756</v>
      </c>
    </row>
    <row r="77" spans="1:24">
      <c r="I77">
        <v>77</v>
      </c>
      <c r="K77">
        <f t="shared" si="28"/>
        <v>556673.06954546983</v>
      </c>
      <c r="L77">
        <f t="shared" si="29"/>
        <v>5.8605242968627422</v>
      </c>
      <c r="M77">
        <v>77</v>
      </c>
      <c r="O77">
        <f t="shared" si="30"/>
        <v>556673.06954546983</v>
      </c>
      <c r="P77">
        <f t="shared" si="31"/>
        <v>9.2912857438775731</v>
      </c>
    </row>
    <row r="78" spans="1:24">
      <c r="I78">
        <v>78</v>
      </c>
      <c r="K78">
        <f t="shared" si="28"/>
        <v>560544.11116237706</v>
      </c>
      <c r="L78">
        <f t="shared" si="29"/>
        <v>5.8579207461563154</v>
      </c>
      <c r="M78">
        <v>78</v>
      </c>
      <c r="O78">
        <f t="shared" si="30"/>
        <v>560544.11116237706</v>
      </c>
      <c r="P78">
        <f t="shared" si="31"/>
        <v>9.2956258575183899</v>
      </c>
    </row>
    <row r="79" spans="1:24">
      <c r="I79">
        <v>79</v>
      </c>
      <c r="K79">
        <f t="shared" si="28"/>
        <v>564415.1527792844</v>
      </c>
      <c r="L79">
        <f t="shared" si="29"/>
        <v>5.8551960506258665</v>
      </c>
      <c r="M79">
        <v>79</v>
      </c>
      <c r="O79">
        <f t="shared" si="30"/>
        <v>564415.1527792844</v>
      </c>
      <c r="P79">
        <f t="shared" si="31"/>
        <v>9.3000871159832297</v>
      </c>
    </row>
    <row r="80" spans="1:24">
      <c r="I80">
        <v>80</v>
      </c>
      <c r="K80">
        <f t="shared" si="28"/>
        <v>568286.19439619174</v>
      </c>
      <c r="L80">
        <f t="shared" si="29"/>
        <v>5.852350966755294</v>
      </c>
      <c r="M80">
        <v>80</v>
      </c>
      <c r="O80">
        <f t="shared" si="30"/>
        <v>568286.19439619174</v>
      </c>
      <c r="P80">
        <f t="shared" si="31"/>
        <v>9.304668762788193</v>
      </c>
    </row>
    <row r="81" spans="9:16">
      <c r="I81">
        <v>81</v>
      </c>
      <c r="K81">
        <f t="shared" si="28"/>
        <v>572157.23601309909</v>
      </c>
      <c r="L81">
        <f t="shared" si="29"/>
        <v>5.8493862697721504</v>
      </c>
      <c r="M81">
        <v>81</v>
      </c>
      <c r="O81">
        <f t="shared" si="30"/>
        <v>572157.23601309909</v>
      </c>
      <c r="P81">
        <f t="shared" si="31"/>
        <v>9.3093700227057283</v>
      </c>
    </row>
    <row r="82" spans="9:16">
      <c r="I82">
        <v>82</v>
      </c>
      <c r="K82">
        <f t="shared" si="28"/>
        <v>576028.27763000631</v>
      </c>
      <c r="L82">
        <f t="shared" si="29"/>
        <v>5.846302752910467</v>
      </c>
      <c r="M82">
        <v>82</v>
      </c>
      <c r="O82">
        <f t="shared" si="30"/>
        <v>576028.27763000631</v>
      </c>
      <c r="P82">
        <f t="shared" si="31"/>
        <v>9.3141901025018008</v>
      </c>
    </row>
    <row r="83" spans="9:16">
      <c r="I83">
        <v>83</v>
      </c>
      <c r="K83">
        <f t="shared" si="28"/>
        <v>579899.31924691354</v>
      </c>
      <c r="L83">
        <f t="shared" si="29"/>
        <v>5.8431012266681375</v>
      </c>
      <c r="M83">
        <v>83</v>
      </c>
      <c r="O83">
        <f t="shared" si="30"/>
        <v>579899.31924691354</v>
      </c>
      <c r="P83">
        <f t="shared" si="31"/>
        <v>9.3191281916785229</v>
      </c>
    </row>
    <row r="84" spans="9:16">
      <c r="I84">
        <v>84</v>
      </c>
      <c r="K84">
        <f t="shared" si="28"/>
        <v>583770.36086382088</v>
      </c>
      <c r="L84">
        <f t="shared" si="29"/>
        <v>5.8397825180602734</v>
      </c>
      <c r="M84">
        <v>84</v>
      </c>
      <c r="O84">
        <f t="shared" si="30"/>
        <v>583770.36086382088</v>
      </c>
      <c r="P84">
        <f t="shared" si="31"/>
        <v>9.324183463220777</v>
      </c>
    </row>
    <row r="85" spans="9:16">
      <c r="I85">
        <v>85</v>
      </c>
      <c r="K85">
        <f t="shared" si="28"/>
        <v>587641.40248072823</v>
      </c>
      <c r="L85">
        <f t="shared" si="29"/>
        <v>5.8363474698699527</v>
      </c>
      <c r="M85">
        <v>85</v>
      </c>
      <c r="O85">
        <f t="shared" si="30"/>
        <v>587641.40248072823</v>
      </c>
      <c r="P85">
        <f t="shared" si="31"/>
        <v>9.3293550743454894</v>
      </c>
    </row>
    <row r="86" spans="9:16">
      <c r="I86">
        <v>86</v>
      </c>
      <c r="K86">
        <f t="shared" si="28"/>
        <v>591512.44409763557</v>
      </c>
      <c r="L86">
        <f t="shared" si="29"/>
        <v>5.8327969398977118</v>
      </c>
      <c r="M86">
        <v>86</v>
      </c>
      <c r="O86">
        <f t="shared" si="30"/>
        <v>591512.44409763557</v>
      </c>
      <c r="P86">
        <f t="shared" si="31"/>
        <v>9.334642167252122</v>
      </c>
    </row>
    <row r="87" spans="9:16">
      <c r="I87">
        <v>87</v>
      </c>
      <c r="K87">
        <f t="shared" si="28"/>
        <v>595383.4857145428</v>
      </c>
      <c r="L87">
        <f t="shared" si="29"/>
        <v>5.8291318002111199</v>
      </c>
      <c r="M87">
        <v>87</v>
      </c>
      <c r="O87">
        <f t="shared" si="30"/>
        <v>595383.4857145428</v>
      </c>
      <c r="P87">
        <f t="shared" si="31"/>
        <v>9.340043869873103</v>
      </c>
    </row>
    <row r="88" spans="9:16">
      <c r="I88">
        <v>88</v>
      </c>
      <c r="K88">
        <f t="shared" si="28"/>
        <v>599254.52733145002</v>
      </c>
      <c r="L88">
        <f t="shared" si="29"/>
        <v>5.8253529363957144</v>
      </c>
      <c r="M88">
        <v>88</v>
      </c>
      <c r="O88">
        <f t="shared" si="30"/>
        <v>599254.52733145002</v>
      </c>
      <c r="P88">
        <f t="shared" si="31"/>
        <v>9.345559296622902</v>
      </c>
    </row>
    <row r="89" spans="9:16">
      <c r="I89">
        <v>89</v>
      </c>
      <c r="K89">
        <f t="shared" si="28"/>
        <v>603125.56894835737</v>
      </c>
      <c r="L89">
        <f t="shared" si="29"/>
        <v>5.8214612468085365</v>
      </c>
      <c r="M89">
        <v>89</v>
      </c>
      <c r="O89">
        <f t="shared" si="30"/>
        <v>603125.56894835737</v>
      </c>
      <c r="P89">
        <f t="shared" si="31"/>
        <v>9.3511875491444698</v>
      </c>
    </row>
    <row r="90" spans="9:16">
      <c r="I90">
        <v>90</v>
      </c>
      <c r="K90">
        <f t="shared" si="28"/>
        <v>606996.61056526471</v>
      </c>
      <c r="L90">
        <f t="shared" si="29"/>
        <v>5.8174576418354791</v>
      </c>
      <c r="M90">
        <v>90</v>
      </c>
      <c r="O90">
        <f t="shared" si="30"/>
        <v>606996.61056526471</v>
      </c>
      <c r="P90">
        <f t="shared" si="31"/>
        <v>9.3569277170519172</v>
      </c>
    </row>
    <row r="91" spans="9:16">
      <c r="I91">
        <v>91</v>
      </c>
      <c r="K91">
        <f t="shared" si="28"/>
        <v>610867.65218217205</v>
      </c>
      <c r="L91">
        <f t="shared" si="29"/>
        <v>5.813343043153564</v>
      </c>
      <c r="M91">
        <v>91</v>
      </c>
      <c r="O91">
        <f t="shared" si="30"/>
        <v>610867.65218217205</v>
      </c>
      <c r="P91">
        <f t="shared" si="31"/>
        <v>9.3627788786682231</v>
      </c>
    </row>
    <row r="92" spans="9:16">
      <c r="I92">
        <v>92</v>
      </c>
      <c r="K92">
        <f t="shared" si="28"/>
        <v>614738.69379907928</v>
      </c>
      <c r="L92">
        <f t="shared" si="29"/>
        <v>5.8091183829992739</v>
      </c>
      <c r="M92">
        <v>92</v>
      </c>
      <c r="O92">
        <f t="shared" si="30"/>
        <v>614738.69379907928</v>
      </c>
      <c r="P92">
        <f t="shared" si="31"/>
        <v>9.3687401017569059</v>
      </c>
    </row>
    <row r="93" spans="9:16">
      <c r="I93">
        <v>93</v>
      </c>
      <c r="K93">
        <f t="shared" si="28"/>
        <v>618609.73541598662</v>
      </c>
      <c r="L93">
        <f t="shared" si="29"/>
        <v>5.8047846034439488</v>
      </c>
      <c r="M93">
        <v>93</v>
      </c>
      <c r="O93">
        <f t="shared" si="30"/>
        <v>618609.73541598662</v>
      </c>
      <c r="P93">
        <f t="shared" si="31"/>
        <v>9.37481044424662</v>
      </c>
    </row>
    <row r="94" spans="9:16">
      <c r="I94">
        <v>94</v>
      </c>
      <c r="K94">
        <f t="shared" si="28"/>
        <v>622480.77703289385</v>
      </c>
      <c r="L94">
        <f t="shared" si="29"/>
        <v>5.8003426556772641</v>
      </c>
      <c r="M94">
        <v>94</v>
      </c>
      <c r="O94">
        <f t="shared" si="30"/>
        <v>622480.77703289385</v>
      </c>
      <c r="P94">
        <f t="shared" si="31"/>
        <v>9.3809889549476964</v>
      </c>
    </row>
    <row r="95" spans="9:16">
      <c r="I95">
        <v>95</v>
      </c>
      <c r="K95">
        <f t="shared" si="28"/>
        <v>626351.81864980119</v>
      </c>
      <c r="L95">
        <f t="shared" si="29"/>
        <v>5.7957934992997044</v>
      </c>
      <c r="M95">
        <v>95</v>
      </c>
      <c r="O95">
        <f t="shared" si="30"/>
        <v>626351.81864980119</v>
      </c>
      <c r="P95">
        <f t="shared" si="31"/>
        <v>9.3872746742596487</v>
      </c>
    </row>
    <row r="96" spans="9:16">
      <c r="I96">
        <v>96</v>
      </c>
      <c r="K96">
        <f t="shared" si="28"/>
        <v>630222.86026670854</v>
      </c>
      <c r="L96">
        <f t="shared" si="29"/>
        <v>5.7911381016249042</v>
      </c>
      <c r="M96">
        <v>96</v>
      </c>
      <c r="O96">
        <f t="shared" si="30"/>
        <v>630222.86026670854</v>
      </c>
      <c r="P96">
        <f t="shared" si="31"/>
        <v>9.393666634868838</v>
      </c>
    </row>
    <row r="97" spans="9:16">
      <c r="I97">
        <v>97</v>
      </c>
      <c r="K97">
        <f t="shared" si="28"/>
        <v>634093.90188361588</v>
      </c>
      <c r="L97">
        <f t="shared" ref="L97:L100" si="36">7.45104226832377+2.24301765034798E-07*K97-1.61653940236522*(1.06666666666667+(K97-454049.662891246)^2/177420185700.09)^0.5</f>
        <v>5.7863774369927032</v>
      </c>
      <c r="M97">
        <v>97</v>
      </c>
      <c r="O97">
        <f t="shared" si="30"/>
        <v>634093.90188361588</v>
      </c>
      <c r="P97">
        <f t="shared" ref="P97:P100" si="37">7.45104226832377+2.24301765034798E-07*O97+1.61653940236522*(1.06666666666667+(O97-454049.662891246)^2/177420185700.09)^0.5</f>
        <v>9.4001638624354307</v>
      </c>
    </row>
    <row r="98" spans="9:16">
      <c r="I98">
        <v>98</v>
      </c>
      <c r="K98">
        <f t="shared" si="28"/>
        <v>637964.94350052311</v>
      </c>
      <c r="L98">
        <f t="shared" si="36"/>
        <v>5.7815124860936384</v>
      </c>
      <c r="M98">
        <v>98</v>
      </c>
      <c r="O98">
        <f t="shared" si="30"/>
        <v>637964.94350052311</v>
      </c>
      <c r="P98">
        <f t="shared" si="37"/>
        <v>9.4067653762688845</v>
      </c>
    </row>
    <row r="99" spans="9:16">
      <c r="I99">
        <v>99</v>
      </c>
      <c r="K99">
        <f t="shared" si="28"/>
        <v>641835.98511743033</v>
      </c>
      <c r="L99">
        <f t="shared" si="36"/>
        <v>5.7765442353056251</v>
      </c>
      <c r="M99">
        <v>99</v>
      </c>
      <c r="O99">
        <f t="shared" si="30"/>
        <v>641835.98511743033</v>
      </c>
      <c r="P99">
        <f t="shared" si="37"/>
        <v>9.4134701899912905</v>
      </c>
    </row>
    <row r="100" spans="9:16">
      <c r="I100">
        <v>100</v>
      </c>
      <c r="K100">
        <f t="shared" si="28"/>
        <v>645707.02673433768</v>
      </c>
      <c r="L100">
        <f t="shared" si="36"/>
        <v>5.7714736760434313</v>
      </c>
      <c r="M100">
        <v>100</v>
      </c>
      <c r="O100">
        <f t="shared" si="30"/>
        <v>645707.02673433768</v>
      </c>
      <c r="P100">
        <f t="shared" si="37"/>
        <v>9.4202773121878742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4041-7254-45A4-9455-368F56968E1C}">
  <sheetPr codeName="Hoja4"/>
  <dimension ref="A1"/>
  <sheetViews>
    <sheetView showGridLines="0" zoomScale="70" zoomScaleNormal="70" workbookViewId="0"/>
  </sheetViews>
  <sheetFormatPr baseColWidth="10" defaultColWidth="11.44140625" defaultRowHeight="14.4"/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7AC4D6C4F80545A8D23CA138659B53" ma:contentTypeVersion="14" ma:contentTypeDescription="Crear nuevo documento." ma:contentTypeScope="" ma:versionID="44ce33bc8aad6bf5744795e45ecfac9a">
  <xsd:schema xmlns:xsd="http://www.w3.org/2001/XMLSchema" xmlns:xs="http://www.w3.org/2001/XMLSchema" xmlns:p="http://schemas.microsoft.com/office/2006/metadata/properties" xmlns:ns2="9662bef3-da09-439d-94b0-ed74ba168da5" xmlns:ns3="c377e6b4-6285-4bfd-8fd5-2cda8d981624" targetNamespace="http://schemas.microsoft.com/office/2006/metadata/properties" ma:root="true" ma:fieldsID="9772f5176d12852fc699b35095851c51" ns2:_="" ns3:_="">
    <xsd:import namespace="9662bef3-da09-439d-94b0-ed74ba168da5"/>
    <xsd:import namespace="c377e6b4-6285-4bfd-8fd5-2cda8d9816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2bef3-da09-439d-94b0-ed74ba168d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ff2c348-b4ee-425a-a4b2-8713acf06d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7e6b4-6285-4bfd-8fd5-2cda8d98162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a96097-3044-46e0-9700-8e67de04824c}" ma:internalName="TaxCatchAll" ma:showField="CatchAllData" ma:web="c377e6b4-6285-4bfd-8fd5-2cda8d9816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62bef3-da09-439d-94b0-ed74ba168da5">
      <Terms xmlns="http://schemas.microsoft.com/office/infopath/2007/PartnerControls"/>
    </lcf76f155ced4ddcb4097134ff3c332f>
    <TaxCatchAll xmlns="c377e6b4-6285-4bfd-8fd5-2cda8d981624" xsi:nil="true"/>
  </documentManagement>
</p:properties>
</file>

<file path=customXml/itemProps1.xml><?xml version="1.0" encoding="utf-8"?>
<ds:datastoreItem xmlns:ds="http://schemas.openxmlformats.org/officeDocument/2006/customXml" ds:itemID="{AAA30045-9BF5-4825-A849-2F93784A7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62bef3-da09-439d-94b0-ed74ba168da5"/>
    <ds:schemaRef ds:uri="c377e6b4-6285-4bfd-8fd5-2cda8d9816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B86B82-F93F-4928-8C37-7B7B69A7A7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A2CB76-0D55-43AD-AF03-0D227AF42840}">
  <ds:schemaRefs>
    <ds:schemaRef ds:uri="http://schemas.microsoft.com/office/2006/metadata/properties"/>
    <ds:schemaRef ds:uri="http://schemas.microsoft.com/office/infopath/2007/PartnerControls"/>
    <ds:schemaRef ds:uri="9662bef3-da09-439d-94b0-ed74ba168da5"/>
    <ds:schemaRef ds:uri="c377e6b4-6285-4bfd-8fd5-2cda8d9816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DETALLE ENERGIA Y FACTURA</vt:lpstr>
      <vt:lpstr>Graficas</vt:lpstr>
      <vt:lpstr>XLSTAT_20221004_132937_1_HID</vt:lpstr>
      <vt:lpstr>XLSTAT_20221004_131245_1_HID</vt:lpstr>
      <vt:lpstr>XLSTAT_20220917_223214_1_HID</vt:lpstr>
      <vt:lpstr>Hoja1</vt:lpstr>
      <vt:lpstr>CECOS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Rolando Leonidas Villalobos Alarcon</dc:creator>
  <cp:keywords/>
  <dc:description/>
  <cp:lastModifiedBy>Andy Cabrera</cp:lastModifiedBy>
  <cp:revision/>
  <dcterms:created xsi:type="dcterms:W3CDTF">2021-04-29T03:33:51Z</dcterms:created>
  <dcterms:modified xsi:type="dcterms:W3CDTF">2026-06-04T19:04:28Z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0x010100EF7AC4D6C4F80545A8D23CA138659B53</vt:lpwstr>
  </property>
</Properties>
</file>